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98" yWindow="-98" windowWidth="28996" windowHeight="15675" tabRatio="600" firstSheet="0" activeTab="0" autoFilterDateGrouping="1"/>
  </bookViews>
  <sheets>
    <sheet xmlns:r="http://schemas.openxmlformats.org/officeDocument/2006/relationships" name="Master_Data" sheetId="1" state="visible" r:id="rId1"/>
    <sheet xmlns:r="http://schemas.openxmlformats.org/officeDocument/2006/relationships" name="Thong_Ke" sheetId="2" state="visible" r:id="rId2"/>
    <sheet xmlns:r="http://schemas.openxmlformats.org/officeDocument/2006/relationships" name="Log_Muon_Tra" sheetId="3" state="visible" r:id="rId3"/>
    <sheet xmlns:r="http://schemas.openxmlformats.org/officeDocument/2006/relationships" name="Log_Bao_Tri" sheetId="4" state="visible" r:id="rId4"/>
    <sheet xmlns:r="http://schemas.openxmlformats.org/officeDocument/2006/relationships" name="Can_Bo_QL" sheetId="5" state="visible" r:id="rId5"/>
  </sheets>
  <definedNames>
    <definedName name="_xlnm._FilterDatabase" localSheetId="0" hidden="1">'Master_Data'!$A$1:$S$75</definedName>
  </definedNames>
  <calcPr calcId="0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FFFFFFFF"/>
      <sz val="11"/>
    </font>
    <font>
      <name val="Arial"/>
      <sz val="10"/>
    </font>
    <font>
      <name val="Arial"/>
      <b val="1"/>
      <color rgb="FF2F5496"/>
      <sz val="14"/>
    </font>
    <font>
      <name val="Arial"/>
      <i val="1"/>
      <color rgb="FF808080"/>
      <sz val="10"/>
    </font>
    <font>
      <name val="Arial"/>
      <b val="1"/>
      <color rgb="FF2F5496"/>
      <sz val="10"/>
    </font>
    <font>
      <name val="Arial"/>
      <b val="1"/>
      <sz val="10"/>
    </font>
    <font>
      <name val="Arial"/>
      <b val="1"/>
      <color rgb="FFC00000"/>
      <sz val="10"/>
    </font>
    <font>
      <b val="1"/>
      <color rgb="00FF0000"/>
      <sz val="14"/>
    </font>
  </fonts>
  <fills count="11">
    <fill>
      <patternFill/>
    </fill>
    <fill>
      <patternFill patternType="gray125"/>
    </fill>
    <fill>
      <patternFill patternType="solid">
        <fgColor rgb="FF2F5496"/>
      </patternFill>
    </fill>
    <fill>
      <patternFill patternType="solid">
        <fgColor rgb="FFFFF2CC"/>
      </patternFill>
    </fill>
    <fill>
      <patternFill patternType="solid">
        <fgColor rgb="FFFFCDD2"/>
      </patternFill>
    </fill>
    <fill>
      <patternFill patternType="solid">
        <fgColor rgb="FFE8F5E9"/>
      </patternFill>
    </fill>
    <fill>
      <patternFill patternType="solid">
        <fgColor rgb="FFFCE4EC"/>
      </patternFill>
    </fill>
    <fill>
      <patternFill patternType="solid">
        <fgColor rgb="FFD6E4F0"/>
      </patternFill>
    </fill>
    <fill>
      <patternFill patternType="solid">
        <fgColor rgb="FF1B5E20"/>
      </patternFill>
    </fill>
    <fill>
      <patternFill patternType="solid">
        <fgColor rgb="FFE65100"/>
      </patternFill>
    </fill>
    <fill>
      <patternFill patternType="solid">
        <fgColor rgb="FF4A148C"/>
      </patternFill>
    </fill>
  </fills>
  <borders count="2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pivotButton="0" quotePrefix="0" xfId="0"/>
    <xf numFmtId="0" fontId="2" fillId="3" borderId="1" pivotButton="0" quotePrefix="0" xfId="0"/>
    <xf numFmtId="0" fontId="2" fillId="4" borderId="1" pivotButton="0" quotePrefix="0" xfId="0"/>
    <xf numFmtId="0" fontId="2" fillId="5" borderId="1" pivotButton="0" quotePrefix="0" xfId="0"/>
    <xf numFmtId="0" fontId="2" fillId="6" borderId="1" pivotButton="0" quotePrefix="0" xfId="0"/>
    <xf numFmtId="0" fontId="4" fillId="0" borderId="0" pivotButton="0" quotePrefix="0" xfId="0"/>
    <xf numFmtId="0" fontId="6" fillId="0" borderId="0" pivotButton="0" quotePrefix="0" xfId="0"/>
    <xf numFmtId="0" fontId="2" fillId="0" borderId="0" pivotButton="0" quotePrefix="0" xfId="0"/>
    <xf numFmtId="0" fontId="7" fillId="0" borderId="0" pivotButton="0" quotePrefix="0" xfId="0"/>
    <xf numFmtId="0" fontId="1" fillId="8" borderId="1" applyAlignment="1" pivotButton="0" quotePrefix="0" xfId="0">
      <alignment horizontal="center" vertical="center" wrapText="1"/>
    </xf>
    <xf numFmtId="0" fontId="1" fillId="9" borderId="1" applyAlignment="1" pivotButton="0" quotePrefix="0" xfId="0">
      <alignment horizontal="center" vertical="center" wrapText="1"/>
    </xf>
    <xf numFmtId="0" fontId="1" fillId="10" borderId="1" applyAlignment="1" pivotButton="0" quotePrefix="0" xfId="0">
      <alignment horizontal="center" vertical="center" wrapText="1"/>
    </xf>
    <xf numFmtId="0" fontId="5" fillId="7" borderId="0" pivotButton="0" quotePrefix="0" xfId="0"/>
    <xf numFmtId="0" fontId="0" fillId="0" borderId="0" pivotButton="0" quotePrefix="0" xfId="0"/>
    <xf numFmtId="0" fontId="3" fillId="0" borderId="0" pivotButton="0" quotePrefix="0" xfId="0"/>
    <xf numFmtId="0" fontId="8" fillId="0" borderId="0" applyAlignment="1" pivotButton="0" quotePrefix="0" xfId="0">
      <alignment horizontal="center" vertical="center"/>
    </xf>
  </cellXfs>
  <cellStyles count="1">
    <cellStyle name="Normal" xfId="0" builtinId="0"/>
  </cellStyles>
  <dxfs count="1">
    <dxf>
      <fill>
        <patternFill patternType="solid">
          <fgColor rgb="00FFCCCC"/>
          <bgColor rgb="00FFCCC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5"/>
  <sheetViews>
    <sheetView tabSelected="1"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G18" sqref="G18"/>
    </sheetView>
  </sheetViews>
  <sheetFormatPr baseColWidth="8" defaultRowHeight="14.25"/>
  <cols>
    <col width="5" customWidth="1" style="15" min="1" max="1"/>
    <col width="18" customWidth="1" style="15" min="2" max="2"/>
    <col width="10" customWidth="1" style="15" min="3" max="3"/>
    <col width="6" customWidth="1" style="15" min="4" max="4"/>
    <col width="20" customWidth="1" style="15" min="5" max="5"/>
    <col width="45" customWidth="1" style="15" min="6" max="6"/>
    <col width="65.19921875" customWidth="1" style="15" min="7" max="7"/>
    <col width="12" customWidth="1" style="15" min="8" max="8"/>
    <col width="8" customWidth="1" style="15" min="9" max="10"/>
    <col width="14" customWidth="1" style="15" min="11" max="12"/>
    <col width="42.46484375" customWidth="1" style="15" min="13" max="13"/>
    <col width="22" customWidth="1" style="15" min="14" max="14"/>
    <col width="12" customWidth="1" style="15" min="15" max="15"/>
    <col width="30" customWidth="1" style="15" min="16" max="16"/>
    <col width="40" customWidth="1" style="15" min="17" max="17"/>
    <col width="12" customWidth="1" style="15" min="18" max="19"/>
  </cols>
  <sheetData>
    <row r="1" ht="41.65" customHeight="1" s="15">
      <c r="A1" s="1" t="inlineStr">
        <is>
          <t>STT</t>
        </is>
      </c>
      <c r="B1" s="1" t="inlineStr">
        <is>
          <t>Mã QR</t>
        </is>
      </c>
      <c r="C1" s="1" t="inlineStr">
        <is>
          <t>Mã tài sản</t>
        </is>
      </c>
      <c r="D1" s="1" t="inlineStr">
        <is>
          <t>Nhóm (mã)</t>
        </is>
      </c>
      <c r="E1" s="1" t="inlineStr">
        <is>
          <t>Nhóm (tên)</t>
        </is>
      </c>
      <c r="F1" s="1" t="inlineStr">
        <is>
          <t>Tên thiết bị</t>
        </is>
      </c>
      <c r="G1" s="1" t="inlineStr">
        <is>
          <t>Thông số kỹ thuật</t>
        </is>
      </c>
      <c r="H1" s="1" t="inlineStr">
        <is>
          <t>Nước SX</t>
        </is>
      </c>
      <c r="I1" s="1" t="inlineStr">
        <is>
          <t>Năm SĐ</t>
        </is>
      </c>
      <c r="J1" s="1" t="inlineStr">
        <is>
          <t>Số lượng</t>
        </is>
      </c>
      <c r="K1" s="1" t="inlineStr">
        <is>
          <t>Nguyên giá (tr.đ)</t>
        </is>
      </c>
      <c r="L1" s="1" t="inlineStr">
        <is>
          <t>Địa điểm (chuẩn)</t>
        </is>
      </c>
      <c r="M1" s="1" t="inlineStr">
        <is>
          <t>CB quản lý hiện tại</t>
        </is>
      </c>
      <c r="N1" s="1" t="inlineStr">
        <is>
          <t>Tình trạng thực tế (01/2025)</t>
        </is>
      </c>
      <c r="O1" s="1" t="inlineStr">
        <is>
          <t>ID nhóm TB chính</t>
        </is>
      </c>
      <c r="P1" s="1" t="inlineStr">
        <is>
          <t>Ghi chú gốc</t>
        </is>
      </c>
      <c r="Q1" s="1" t="inlineStr">
        <is>
          <t>Giải trình rà soát</t>
        </is>
      </c>
      <c r="R1" s="1" t="inlineStr">
        <is>
          <t>Cần gán lại CB</t>
        </is>
      </c>
      <c r="S1" s="1" t="inlineStr">
        <is>
          <t>Đề xuất thanh lý</t>
        </is>
      </c>
    </row>
    <row r="2">
      <c r="A2" s="2" t="n">
        <v>17</v>
      </c>
      <c r="B2" s="2" t="inlineStr">
        <is>
          <t>HMO-HPC-7303</t>
        </is>
      </c>
      <c r="C2" s="2" t="n">
        <v>7303</v>
      </c>
      <c r="D2" s="2" t="inlineStr">
        <is>
          <t>HPC</t>
        </is>
      </c>
      <c r="E2" s="2" t="inlineStr">
        <is>
          <t>Hệ thống tính toán</t>
        </is>
      </c>
      <c r="F2" s="2" t="inlineStr">
        <is>
          <t>Hệ thống Máy Chủ</t>
        </is>
      </c>
      <c r="G2" s="2" t="inlineStr">
        <is>
          <t>Intel® Xeon® Westmere Six Core Processor E5649, 2.53GHz, 12M QPI 5.86 GT/sec, LGA1366; RAM: 8GB DDR3 1333; HDD WESTERN 2TB SATA; DVD-RW</t>
        </is>
      </c>
      <c r="H2" s="2" t="inlineStr">
        <is>
          <t>Trung Quốc</t>
        </is>
      </c>
      <c r="I2" s="2" t="n">
        <v>2012</v>
      </c>
      <c r="J2" s="2" t="n">
        <v>1</v>
      </c>
      <c r="K2" s="2" t="n">
        <v>427.066</v>
      </c>
      <c r="L2" s="2" t="inlineStr">
        <is>
          <t>P206-T3</t>
        </is>
      </c>
      <c r="M2" s="3" t="inlineStr">
        <is>
          <t>Nguyễn Hồng Quang, Đào Nguyễn Quỳnh Hoa</t>
        </is>
      </c>
      <c r="N2" s="2" t="inlineStr">
        <is>
          <t xml:space="preserve">Kém </t>
        </is>
      </c>
      <c r="O2" s="2" t="n"/>
      <c r="P2" s="2" t="inlineStr">
        <is>
          <t>Đề tài thầy Trần Tân Tiến</t>
        </is>
      </c>
      <c r="Q2" s="2" t="inlineStr">
        <is>
          <t>GS.TS Trần Tân Tiến đã nghỉ hưu</t>
        </is>
      </c>
      <c r="R2" s="3" t="inlineStr">
        <is>
          <t>Có</t>
        </is>
      </c>
      <c r="S2" s="2" t="n"/>
    </row>
    <row r="3">
      <c r="A3" s="2" t="n">
        <v>22</v>
      </c>
      <c r="B3" s="2" t="inlineStr">
        <is>
          <t>HMO-HPC-7302</t>
        </is>
      </c>
      <c r="C3" s="2" t="n">
        <v>7302</v>
      </c>
      <c r="D3" s="2" t="inlineStr">
        <is>
          <t>HPC</t>
        </is>
      </c>
      <c r="E3" s="2" t="inlineStr">
        <is>
          <t>Hệ thống tính toán</t>
        </is>
      </c>
      <c r="F3" s="2" t="inlineStr">
        <is>
          <t>Máy chủ quản lý và điều khiển Super Micro</t>
        </is>
      </c>
      <c r="G3" s="2" t="inlineStr">
        <is>
          <t>CPU 2 x Intel® Xeon® Quad Core Processor E5620, 2.40GHz, 12MB L3 cache; RAM Memory 24GB(6 x 4GB) DDR3 1333 240-Pin DDR3; Supports up to 192 GB 1066/1333 MHz DDR3; HDD 2TB, DVD ROM</t>
        </is>
      </c>
      <c r="H3" s="2" t="inlineStr">
        <is>
          <t>Trung Quốc</t>
        </is>
      </c>
      <c r="I3" s="2" t="n">
        <v>2012</v>
      </c>
      <c r="J3" s="2" t="n">
        <v>1</v>
      </c>
      <c r="K3" s="2" t="n">
        <v>454.3</v>
      </c>
      <c r="L3" s="2" t="inlineStr">
        <is>
          <t>P204-T3</t>
        </is>
      </c>
      <c r="M3" s="3" t="inlineStr">
        <is>
          <t>Nguyễn Hồng Quang, Đào Nguyễn Quỳnh Hoa</t>
        </is>
      </c>
      <c r="N3" s="2" t="inlineStr">
        <is>
          <t xml:space="preserve">Kém </t>
        </is>
      </c>
      <c r="O3" s="2" t="n"/>
      <c r="P3" s="2" t="inlineStr">
        <is>
          <t>Đề tài TS Ngô Đức Thành</t>
        </is>
      </c>
      <c r="Q3" s="2" t="inlineStr">
        <is>
          <t>PGS.TS Nguyễn Thọ Sáo đã mất năm 2023</t>
        </is>
      </c>
      <c r="R3" s="3" t="inlineStr">
        <is>
          <t>Có</t>
        </is>
      </c>
      <c r="S3" s="2" t="n"/>
    </row>
    <row r="4">
      <c r="A4" s="2" t="n">
        <v>30</v>
      </c>
      <c r="B4" s="2" t="inlineStr">
        <is>
          <t>HMO-HPC-7748</t>
        </is>
      </c>
      <c r="C4" s="2" t="n">
        <v>7748</v>
      </c>
      <c r="D4" s="2" t="inlineStr">
        <is>
          <t>HPC</t>
        </is>
      </c>
      <c r="E4" s="2" t="inlineStr">
        <is>
          <t>Hệ thống tính toán</t>
        </is>
      </c>
      <c r="F4" s="4" t="inlineStr">
        <is>
          <t>Server Dell PE R720</t>
        </is>
      </c>
      <c r="G4" s="2" t="inlineStr">
        <is>
          <t>2x Xeon E5-2630 2.3Ghz/4x8Gb Ram/ 8x300Gb HDD/DVDRom</t>
        </is>
      </c>
      <c r="H4" s="2" t="inlineStr">
        <is>
          <t>China</t>
        </is>
      </c>
      <c r="I4" s="2" t="n">
        <v>2013</v>
      </c>
      <c r="J4" s="2" t="n">
        <v>1</v>
      </c>
      <c r="K4" s="2" t="n">
        <v>161.433</v>
      </c>
      <c r="L4" s="2" t="inlineStr">
        <is>
          <t>P207-T3</t>
        </is>
      </c>
      <c r="M4" s="2" t="n"/>
      <c r="N4" s="6" t="inlineStr">
        <is>
          <t>Không hoạt động</t>
        </is>
      </c>
      <c r="O4" s="2" t="n"/>
      <c r="P4" s="2" t="inlineStr">
        <is>
          <t>Dự án 11-P04-VIE; QĐ bàn giao cho Khoa số 773//QĐ-KHCN ngày 3/29/2017</t>
        </is>
      </c>
      <c r="Q4" s="2" t="inlineStr">
        <is>
          <t>Đã hỏng từ lâu</t>
        </is>
      </c>
      <c r="R4" s="2" t="n"/>
      <c r="S4" s="6" t="inlineStr">
        <is>
          <t>Có</t>
        </is>
      </c>
    </row>
    <row r="5">
      <c r="A5" s="2" t="n">
        <v>34</v>
      </c>
      <c r="B5" s="2" t="inlineStr">
        <is>
          <t>HMO-HPC-7897</t>
        </is>
      </c>
      <c r="C5" s="2" t="n">
        <v>7897</v>
      </c>
      <c r="D5" s="2" t="inlineStr">
        <is>
          <t>HPC</t>
        </is>
      </c>
      <c r="E5" s="2" t="inlineStr">
        <is>
          <t>Hệ thống tính toán</t>
        </is>
      </c>
      <c r="F5" s="2" t="inlineStr">
        <is>
          <t>Máy chủ Server</t>
        </is>
      </c>
      <c r="G5" s="2" t="inlineStr">
        <is>
          <t>Processors: 2 x Intel Xeon Sandy Bridge 6-Core E5-2630v2 2.6GHz, 15MB L3 cache 7.2GT/s QPI; Memory: 24GB (3 x 8GB) 1333 MHz 240-pin DDR3 ECC RDIMMS/UDIMMS; HardDisk: 8 x 2.0TB WD RE4 Enterprise SATAIII 6Gbps 7200RPM 64MB 3.5 inch</t>
        </is>
      </c>
      <c r="H5" s="2" t="inlineStr">
        <is>
          <t>Trung Quốc</t>
        </is>
      </c>
      <c r="I5" s="2" t="n">
        <v>2014</v>
      </c>
      <c r="J5" s="2" t="n">
        <v>4</v>
      </c>
      <c r="K5" s="2" t="n">
        <v>514.3468</v>
      </c>
      <c r="L5" s="2" t="inlineStr">
        <is>
          <t>P206-T3</t>
        </is>
      </c>
      <c r="M5" s="3" t="inlineStr">
        <is>
          <t>Nguyễn Hồng Quang, Đào Nguyễn Quỳnh Hoa</t>
        </is>
      </c>
      <c r="N5" s="2" t="inlineStr">
        <is>
          <t xml:space="preserve">Kém </t>
        </is>
      </c>
      <c r="O5" s="2" t="n"/>
      <c r="P5" s="2" t="n"/>
      <c r="Q5" s="2" t="n"/>
      <c r="R5" s="2" t="n"/>
      <c r="S5" s="2" t="n"/>
    </row>
    <row r="6">
      <c r="A6" s="2" t="n">
        <v>39</v>
      </c>
      <c r="B6" s="2" t="inlineStr">
        <is>
          <t>HMO-HPC-7879</t>
        </is>
      </c>
      <c r="C6" s="2" t="n">
        <v>7879</v>
      </c>
      <c r="D6" s="2" t="inlineStr">
        <is>
          <t>HPC</t>
        </is>
      </c>
      <c r="E6" s="2" t="inlineStr">
        <is>
          <t>Hệ thống tính toán</t>
        </is>
      </c>
      <c r="F6" s="2" t="inlineStr">
        <is>
          <t>Máy chủ SuperMicro Server 1028U-TR4+ (174942U164832)</t>
        </is>
      </c>
      <c r="G6" s="2" t="inlineStr">
        <is>
          <t>CPU 10 core 2.4GHz, RAM: 64GB DDR4, HDD: 2x120GB SSD SATA</t>
        </is>
      </c>
      <c r="H6" s="2" t="inlineStr">
        <is>
          <t>USA</t>
        </is>
      </c>
      <c r="I6" s="2" t="n">
        <v>2017</v>
      </c>
      <c r="J6" s="2" t="n">
        <v>1</v>
      </c>
      <c r="K6" s="2" t="n">
        <v>153.78</v>
      </c>
      <c r="L6" s="2" t="inlineStr">
        <is>
          <t>T3</t>
        </is>
      </c>
      <c r="M6" s="2" t="inlineStr">
        <is>
          <t>Phan Văn Tân</t>
        </is>
      </c>
      <c r="N6" s="2" t="inlineStr">
        <is>
          <t>Bình thường</t>
        </is>
      </c>
      <c r="O6" s="2" t="n"/>
      <c r="P6" s="2" t="inlineStr">
        <is>
          <t>Dự án FIRST-1.a-VNU2-G01</t>
        </is>
      </c>
      <c r="Q6" s="2" t="n"/>
      <c r="R6" s="2" t="n"/>
      <c r="S6" s="2" t="n"/>
    </row>
    <row r="7">
      <c r="A7" s="2" t="n">
        <v>41</v>
      </c>
      <c r="B7" s="2" t="inlineStr">
        <is>
          <t>HMO-HPC-7874</t>
        </is>
      </c>
      <c r="C7" s="2" t="n">
        <v>7874</v>
      </c>
      <c r="D7" s="2" t="inlineStr">
        <is>
          <t>HPC</t>
        </is>
      </c>
      <c r="E7" s="2" t="inlineStr">
        <is>
          <t>Hệ thống tính toán</t>
        </is>
      </c>
      <c r="F7" s="2" t="inlineStr">
        <is>
          <t>Máy chủ SuperMicro Server 6048R-E1CR36H (S17494286A01435))</t>
        </is>
      </c>
      <c r="G7" s="2" t="inlineStr">
        <is>
          <t>CPU 6 core 2.4GHz, RAM: 64GB DDR4, HDD: 3x200GB SSD SATA, 27x4TB Enterprice SATA, Cạc Raid: LSI 3108</t>
        </is>
      </c>
      <c r="H7" s="2" t="inlineStr">
        <is>
          <t>USA</t>
        </is>
      </c>
      <c r="I7" s="2" t="n">
        <v>2017</v>
      </c>
      <c r="J7" s="2" t="n">
        <v>1</v>
      </c>
      <c r="K7" s="2" t="n">
        <v>391.215</v>
      </c>
      <c r="L7" s="2" t="inlineStr">
        <is>
          <t>T3</t>
        </is>
      </c>
      <c r="M7" s="2" t="inlineStr">
        <is>
          <t>Phan Văn Tân</t>
        </is>
      </c>
      <c r="N7" s="2" t="inlineStr">
        <is>
          <t>Bình thường</t>
        </is>
      </c>
      <c r="O7" s="2" t="n"/>
      <c r="P7" s="2" t="inlineStr">
        <is>
          <t>Dự án FIRST-1.a-VNU2-G01</t>
        </is>
      </c>
      <c r="Q7" s="2" t="n"/>
      <c r="R7" s="2" t="n"/>
      <c r="S7" s="2" t="n"/>
    </row>
    <row r="8">
      <c r="A8" s="2" t="n">
        <v>42</v>
      </c>
      <c r="B8" s="2" t="inlineStr">
        <is>
          <t>HMO-HPC-7880</t>
        </is>
      </c>
      <c r="C8" s="2" t="n">
        <v>7880</v>
      </c>
      <c r="D8" s="2" t="inlineStr">
        <is>
          <t>HPC</t>
        </is>
      </c>
      <c r="E8" s="2" t="inlineStr">
        <is>
          <t>Hệ thống tính toán</t>
        </is>
      </c>
      <c r="F8" s="2" t="inlineStr">
        <is>
          <t>Máy chủ SuperMicro Server 1028U-TR4+ (174942U164829))</t>
        </is>
      </c>
      <c r="G8" s="2" t="inlineStr">
        <is>
          <t>CPU 10 core 2.4GHz, RAM: 64GB DDR4, HDD: 2x120GB SSD SATA</t>
        </is>
      </c>
      <c r="H8" s="2" t="inlineStr">
        <is>
          <t>USA</t>
        </is>
      </c>
      <c r="I8" s="2" t="n">
        <v>2017</v>
      </c>
      <c r="J8" s="2" t="n">
        <v>1</v>
      </c>
      <c r="K8" s="2" t="n">
        <v>153.78</v>
      </c>
      <c r="L8" s="2" t="inlineStr">
        <is>
          <t>T3</t>
        </is>
      </c>
      <c r="M8" s="2" t="inlineStr">
        <is>
          <t>Phan Văn Tân</t>
        </is>
      </c>
      <c r="N8" s="2" t="inlineStr">
        <is>
          <t>Bình thường</t>
        </is>
      </c>
      <c r="O8" s="2" t="n"/>
      <c r="P8" s="2" t="inlineStr">
        <is>
          <t>Dự án FIRST-1.a-VNU2-G01</t>
        </is>
      </c>
      <c r="Q8" s="2" t="n"/>
      <c r="R8" s="2" t="n"/>
      <c r="S8" s="2" t="n"/>
    </row>
    <row r="9">
      <c r="A9" s="2" t="n">
        <v>43</v>
      </c>
      <c r="B9" s="2" t="inlineStr">
        <is>
          <t>HMO-HPC-7875</t>
        </is>
      </c>
      <c r="C9" s="2" t="n">
        <v>7875</v>
      </c>
      <c r="D9" s="2" t="inlineStr">
        <is>
          <t>HPC</t>
        </is>
      </c>
      <c r="E9" s="2" t="inlineStr">
        <is>
          <t>Hệ thống tính toán</t>
        </is>
      </c>
      <c r="F9" s="2" t="inlineStr">
        <is>
          <t>Máy chủ SuperMicro Server 1028U-TR4+ (174942U1648365)</t>
        </is>
      </c>
      <c r="G9" s="2" t="inlineStr">
        <is>
          <t>CPU 10 core 2.4GHz, RAM: 64GB DDR4, HDD: 2x120GB SSD SATA</t>
        </is>
      </c>
      <c r="H9" s="2" t="inlineStr">
        <is>
          <t>USA</t>
        </is>
      </c>
      <c r="I9" s="2" t="n">
        <v>2017</v>
      </c>
      <c r="J9" s="2" t="n">
        <v>1</v>
      </c>
      <c r="K9" s="2" t="n">
        <v>153.78</v>
      </c>
      <c r="L9" s="2" t="inlineStr">
        <is>
          <t>T3</t>
        </is>
      </c>
      <c r="M9" s="2" t="inlineStr">
        <is>
          <t>Phan Văn Tân</t>
        </is>
      </c>
      <c r="N9" s="2" t="inlineStr">
        <is>
          <t>Bình thường</t>
        </is>
      </c>
      <c r="O9" s="2" t="n"/>
      <c r="P9" s="2" t="inlineStr">
        <is>
          <t>Dự án FIRST-1.a-VNU2-G01</t>
        </is>
      </c>
      <c r="Q9" s="2" t="n"/>
      <c r="R9" s="2" t="n"/>
      <c r="S9" s="2" t="n"/>
    </row>
    <row r="10">
      <c r="A10" s="2" t="n">
        <v>44</v>
      </c>
      <c r="B10" s="2" t="inlineStr">
        <is>
          <t>HMO-HPC-7876</t>
        </is>
      </c>
      <c r="C10" s="2" t="n">
        <v>7876</v>
      </c>
      <c r="D10" s="2" t="inlineStr">
        <is>
          <t>HPC</t>
        </is>
      </c>
      <c r="E10" s="2" t="inlineStr">
        <is>
          <t>Hệ thống tính toán</t>
        </is>
      </c>
      <c r="F10" s="2" t="inlineStr">
        <is>
          <t>Máy chủ SuperMicro Server 1028U-TR4+ (174942U1648336)</t>
        </is>
      </c>
      <c r="G10" s="2" t="inlineStr">
        <is>
          <t>CPU 10 core 2.4GHz, RAM: 64GB DDR4, HDD: 2x120GB SSD SATA</t>
        </is>
      </c>
      <c r="H10" s="2" t="inlineStr">
        <is>
          <t>USA</t>
        </is>
      </c>
      <c r="I10" s="2" t="n">
        <v>2017</v>
      </c>
      <c r="J10" s="2" t="n">
        <v>1</v>
      </c>
      <c r="K10" s="2" t="n">
        <v>153.78</v>
      </c>
      <c r="L10" s="2" t="inlineStr">
        <is>
          <t>T3</t>
        </is>
      </c>
      <c r="M10" s="2" t="inlineStr">
        <is>
          <t>Phan Văn Tân</t>
        </is>
      </c>
      <c r="N10" s="2" t="inlineStr">
        <is>
          <t>Bình thường</t>
        </is>
      </c>
      <c r="O10" s="2" t="n"/>
      <c r="P10" s="2" t="inlineStr">
        <is>
          <t>Dự án FIRST-1.a-VNU2-G01</t>
        </is>
      </c>
      <c r="Q10" s="2" t="n"/>
      <c r="R10" s="2" t="n"/>
      <c r="S10" s="2" t="n"/>
    </row>
    <row r="11">
      <c r="A11" s="2" t="n">
        <v>45</v>
      </c>
      <c r="B11" s="2" t="inlineStr">
        <is>
          <t>HMO-HPC-7877</t>
        </is>
      </c>
      <c r="C11" s="2" t="n">
        <v>7877</v>
      </c>
      <c r="D11" s="2" t="inlineStr">
        <is>
          <t>HPC</t>
        </is>
      </c>
      <c r="E11" s="2" t="inlineStr">
        <is>
          <t>Hệ thống tính toán</t>
        </is>
      </c>
      <c r="F11" s="2" t="inlineStr">
        <is>
          <t>Máy chủ SuperMicro Server 1028U-TR4+ (174942U1648362)</t>
        </is>
      </c>
      <c r="G11" s="2" t="inlineStr">
        <is>
          <t>CPU 10 core 2.4GHz, RAM: 64GB DDR4, HDD: 2x120GB SSD SATA</t>
        </is>
      </c>
      <c r="H11" s="2" t="inlineStr">
        <is>
          <t>USA</t>
        </is>
      </c>
      <c r="I11" s="2" t="n">
        <v>2017</v>
      </c>
      <c r="J11" s="2" t="n">
        <v>1</v>
      </c>
      <c r="K11" s="2" t="n">
        <v>153.78</v>
      </c>
      <c r="L11" s="2" t="inlineStr">
        <is>
          <t>T3</t>
        </is>
      </c>
      <c r="M11" s="2" t="inlineStr">
        <is>
          <t>Phan Văn Tân</t>
        </is>
      </c>
      <c r="N11" s="2" t="inlineStr">
        <is>
          <t>Bình thường</t>
        </is>
      </c>
      <c r="O11" s="2" t="n"/>
      <c r="P11" s="2" t="inlineStr">
        <is>
          <t>Dự án FIRST-1.a-VNU2-G01</t>
        </is>
      </c>
      <c r="Q11" s="2" t="n"/>
      <c r="R11" s="2" t="n"/>
      <c r="S11" s="2" t="n"/>
    </row>
    <row r="12">
      <c r="A12" s="2" t="n">
        <v>46</v>
      </c>
      <c r="B12" s="2" t="inlineStr">
        <is>
          <t>HMO-HPC-7878</t>
        </is>
      </c>
      <c r="C12" s="2" t="n">
        <v>7878</v>
      </c>
      <c r="D12" s="2" t="inlineStr">
        <is>
          <t>HPC</t>
        </is>
      </c>
      <c r="E12" s="2" t="inlineStr">
        <is>
          <t>Hệ thống tính toán</t>
        </is>
      </c>
      <c r="F12" s="2" t="inlineStr">
        <is>
          <t>Máy chủ SuperMicro Server 1028U-TR4+ (174942U164825)</t>
        </is>
      </c>
      <c r="G12" s="2" t="inlineStr">
        <is>
          <t>CPU 10 core 2.4GHz, RAM: 64GB DDR4, HDD: 2x120GB SSD SATA</t>
        </is>
      </c>
      <c r="H12" s="2" t="inlineStr">
        <is>
          <t>USA</t>
        </is>
      </c>
      <c r="I12" s="2" t="n">
        <v>2017</v>
      </c>
      <c r="J12" s="2" t="n">
        <v>1</v>
      </c>
      <c r="K12" s="2" t="n">
        <v>153.78</v>
      </c>
      <c r="L12" s="2" t="inlineStr">
        <is>
          <t>T3</t>
        </is>
      </c>
      <c r="M12" s="2" t="inlineStr">
        <is>
          <t>Phan Văn Tân</t>
        </is>
      </c>
      <c r="N12" s="2" t="inlineStr">
        <is>
          <t>Bình thường</t>
        </is>
      </c>
      <c r="O12" s="2" t="n"/>
      <c r="P12" s="2" t="inlineStr">
        <is>
          <t>Dự án FIRST-1.a-VNU2-G01</t>
        </is>
      </c>
      <c r="Q12" s="2" t="n"/>
      <c r="R12" s="2" t="n"/>
      <c r="S12" s="2" t="n"/>
    </row>
    <row r="13">
      <c r="A13" s="2" t="n">
        <v>47</v>
      </c>
      <c r="B13" s="2" t="inlineStr">
        <is>
          <t>HMO-HPC-7912</t>
        </is>
      </c>
      <c r="C13" s="2" t="n">
        <v>7912</v>
      </c>
      <c r="D13" s="2" t="inlineStr">
        <is>
          <t>HPC</t>
        </is>
      </c>
      <c r="E13" s="2" t="inlineStr">
        <is>
          <t>Hệ thống tính toán</t>
        </is>
      </c>
      <c r="F13" s="2" t="inlineStr">
        <is>
          <t>Máy chủ (Node) tính toán</t>
        </is>
      </c>
      <c r="G13" s="2" t="inlineStr">
        <is>
          <t>Server Supermicro 2,5" 1028U-TR4+ E5-2630V4 (Seria number: S16745628524755)</t>
        </is>
      </c>
      <c r="H13" s="2" t="inlineStr">
        <is>
          <t>Trung Quốc</t>
        </is>
      </c>
      <c r="I13" s="2" t="n">
        <v>2018</v>
      </c>
      <c r="J13" s="2" t="n">
        <v>1</v>
      </c>
      <c r="K13" s="2" t="n">
        <v>180.833334</v>
      </c>
      <c r="L13" s="2" t="inlineStr">
        <is>
          <t>P206-T3</t>
        </is>
      </c>
      <c r="M13" s="2" t="inlineStr">
        <is>
          <t>Trần Quang Đức</t>
        </is>
      </c>
      <c r="N13" s="2" t="inlineStr">
        <is>
          <t>Bình thường</t>
        </is>
      </c>
      <c r="O13" s="2" t="n"/>
      <c r="P13" s="2" t="inlineStr">
        <is>
          <t>Đề tài KC.09.15/16-20</t>
        </is>
      </c>
      <c r="Q13" s="2" t="n"/>
      <c r="R13" s="2" t="n"/>
      <c r="S13" s="2" t="n"/>
    </row>
    <row r="14">
      <c r="A14" s="2" t="n">
        <v>48</v>
      </c>
      <c r="B14" s="2" t="inlineStr">
        <is>
          <t>HMO-HPC-7913</t>
        </is>
      </c>
      <c r="C14" s="2" t="n">
        <v>7913</v>
      </c>
      <c r="D14" s="2" t="inlineStr">
        <is>
          <t>HPC</t>
        </is>
      </c>
      <c r="E14" s="2" t="inlineStr">
        <is>
          <t>Hệ thống tính toán</t>
        </is>
      </c>
      <c r="F14" s="2" t="inlineStr">
        <is>
          <t>Máy chủ (Node) tính toán</t>
        </is>
      </c>
      <c r="G14" s="2" t="inlineStr">
        <is>
          <t>Server Supermicro 2,5" 1028U-TR4+ E5-2630V4 (Seria number: S16745628524753)</t>
        </is>
      </c>
      <c r="H14" s="2" t="inlineStr">
        <is>
          <t>Trung Quốc</t>
        </is>
      </c>
      <c r="I14" s="2" t="n">
        <v>2018</v>
      </c>
      <c r="J14" s="2" t="n">
        <v>1</v>
      </c>
      <c r="K14" s="2" t="n">
        <v>180.833334</v>
      </c>
      <c r="L14" s="2" t="inlineStr">
        <is>
          <t>P206-T3</t>
        </is>
      </c>
      <c r="M14" s="2" t="inlineStr">
        <is>
          <t>Trần Quang Đức</t>
        </is>
      </c>
      <c r="N14" s="2" t="inlineStr">
        <is>
          <t>Bình thường</t>
        </is>
      </c>
      <c r="O14" s="2" t="n"/>
      <c r="P14" s="2" t="inlineStr">
        <is>
          <t>Đề tài KC.09.15/16-20</t>
        </is>
      </c>
      <c r="Q14" s="2" t="n"/>
      <c r="R14" s="2" t="n"/>
      <c r="S14" s="2" t="n"/>
    </row>
    <row r="15">
      <c r="A15" s="2" t="n">
        <v>50</v>
      </c>
      <c r="B15" s="2" t="inlineStr">
        <is>
          <t>HMO-HPC-7908</t>
        </is>
      </c>
      <c r="C15" s="2" t="n">
        <v>7908</v>
      </c>
      <c r="D15" s="2" t="inlineStr">
        <is>
          <t>HPC</t>
        </is>
      </c>
      <c r="E15" s="2" t="inlineStr">
        <is>
          <t>Hệ thống tính toán</t>
        </is>
      </c>
      <c r="F15" s="2" t="inlineStr">
        <is>
          <t>Máy chủ (Node) tính toán</t>
        </is>
      </c>
      <c r="G15" s="2" t="inlineStr">
        <is>
          <t>Server Supermicro 2,5" 1028U-TR4+ E5-2630V4 (Seria number: S16745628524752)</t>
        </is>
      </c>
      <c r="H15" s="2" t="inlineStr">
        <is>
          <t>Trung Quốc</t>
        </is>
      </c>
      <c r="I15" s="2" t="n">
        <v>2018</v>
      </c>
      <c r="J15" s="2" t="n">
        <v>1</v>
      </c>
      <c r="K15" s="2" t="n">
        <v>180.833334</v>
      </c>
      <c r="L15" s="2" t="inlineStr">
        <is>
          <t>P206-T3</t>
        </is>
      </c>
      <c r="M15" s="2" t="inlineStr">
        <is>
          <t>Trần Quang Đức</t>
        </is>
      </c>
      <c r="N15" s="2" t="inlineStr">
        <is>
          <t>Bình thường</t>
        </is>
      </c>
      <c r="O15" s="2" t="n"/>
      <c r="P15" s="2" t="inlineStr">
        <is>
          <t>Đề tài KC.09.15/16-20</t>
        </is>
      </c>
      <c r="Q15" s="2" t="n"/>
      <c r="R15" s="2" t="n"/>
      <c r="S15" s="2" t="n"/>
    </row>
    <row r="16">
      <c r="A16" s="2" t="n">
        <v>51</v>
      </c>
      <c r="B16" s="2" t="inlineStr">
        <is>
          <t>HMO-HPC-7910</t>
        </is>
      </c>
      <c r="C16" s="2" t="n">
        <v>7910</v>
      </c>
      <c r="D16" s="2" t="inlineStr">
        <is>
          <t>HPC</t>
        </is>
      </c>
      <c r="E16" s="2" t="inlineStr">
        <is>
          <t>Hệ thống tính toán</t>
        </is>
      </c>
      <c r="F16" s="2" t="inlineStr">
        <is>
          <t>Máy chủ (Node) tính toán</t>
        </is>
      </c>
      <c r="G16" s="2" t="inlineStr">
        <is>
          <t>Server Supermicro 2,5" 1028U-TR4+ E5-2630V4 (Seria number: S16745628524751)</t>
        </is>
      </c>
      <c r="H16" s="2" t="inlineStr">
        <is>
          <t>Trung Quốc</t>
        </is>
      </c>
      <c r="I16" s="2" t="n">
        <v>2018</v>
      </c>
      <c r="J16" s="2" t="n">
        <v>1</v>
      </c>
      <c r="K16" s="2" t="n">
        <v>180.833334</v>
      </c>
      <c r="L16" s="2" t="inlineStr">
        <is>
          <t>P206-T3</t>
        </is>
      </c>
      <c r="M16" s="2" t="inlineStr">
        <is>
          <t>Trần Quang Đức</t>
        </is>
      </c>
      <c r="N16" s="2" t="inlineStr">
        <is>
          <t>Bình thường</t>
        </is>
      </c>
      <c r="O16" s="2" t="n"/>
      <c r="P16" s="2" t="inlineStr">
        <is>
          <t>Đề tài KC.09.15/16-20</t>
        </is>
      </c>
      <c r="Q16" s="2" t="n"/>
      <c r="R16" s="2" t="n"/>
      <c r="S16" s="2" t="n"/>
    </row>
    <row r="17">
      <c r="A17" s="2" t="n">
        <v>52</v>
      </c>
      <c r="B17" s="2" t="inlineStr">
        <is>
          <t>HMO-HPC-7911</t>
        </is>
      </c>
      <c r="C17" s="2" t="n">
        <v>7911</v>
      </c>
      <c r="D17" s="2" t="inlineStr">
        <is>
          <t>HPC</t>
        </is>
      </c>
      <c r="E17" s="2" t="inlineStr">
        <is>
          <t>Hệ thống tính toán</t>
        </is>
      </c>
      <c r="F17" s="2" t="inlineStr">
        <is>
          <t>Máy chủ (Node) tính toán</t>
        </is>
      </c>
      <c r="G17" s="2" t="inlineStr">
        <is>
          <t>Server Supermicro 2,5" 1028U-TR4+ E5-2630V4 (Seria number: S16745628524754)</t>
        </is>
      </c>
      <c r="H17" s="2" t="inlineStr">
        <is>
          <t>Trung Quốc</t>
        </is>
      </c>
      <c r="I17" s="2" t="n">
        <v>2018</v>
      </c>
      <c r="J17" s="2" t="n">
        <v>1</v>
      </c>
      <c r="K17" s="2" t="n">
        <v>180.833334</v>
      </c>
      <c r="L17" s="2" t="inlineStr">
        <is>
          <t>P206-T3</t>
        </is>
      </c>
      <c r="M17" s="2" t="inlineStr">
        <is>
          <t>Trần Quang Đức</t>
        </is>
      </c>
      <c r="N17" s="2" t="inlineStr">
        <is>
          <t>Bình thường</t>
        </is>
      </c>
      <c r="O17" s="2" t="n"/>
      <c r="P17" s="2" t="inlineStr">
        <is>
          <t>Đề tài KC.09.15/16-20</t>
        </is>
      </c>
      <c r="Q17" s="2" t="n"/>
      <c r="R17" s="2" t="n"/>
      <c r="S17" s="2" t="n"/>
    </row>
    <row r="18">
      <c r="A18" s="2" t="n">
        <v>53</v>
      </c>
      <c r="B18" s="2" t="inlineStr">
        <is>
          <t>HMO-HPC-7914</t>
        </is>
      </c>
      <c r="C18" s="2" t="n">
        <v>7914</v>
      </c>
      <c r="D18" s="2" t="inlineStr">
        <is>
          <t>HPC</t>
        </is>
      </c>
      <c r="E18" s="2" t="inlineStr">
        <is>
          <t>Hệ thống tính toán</t>
        </is>
      </c>
      <c r="F18" s="2" t="inlineStr">
        <is>
          <t>Máy chủ (Node) tính toán</t>
        </is>
      </c>
      <c r="G18" s="2" t="inlineStr">
        <is>
          <t>Server Supermicro 2,5" 1028U-TR4+ E5-2630V4 (Seria number: S16745628524750)</t>
        </is>
      </c>
      <c r="H18" s="2" t="inlineStr">
        <is>
          <t>Trung Quốc</t>
        </is>
      </c>
      <c r="I18" s="2" t="n">
        <v>2018</v>
      </c>
      <c r="J18" s="2" t="n">
        <v>1</v>
      </c>
      <c r="K18" s="2" t="n">
        <v>180.833334</v>
      </c>
      <c r="L18" s="2" t="inlineStr">
        <is>
          <t>P206-T3</t>
        </is>
      </c>
      <c r="M18" s="2" t="inlineStr">
        <is>
          <t>Trần Quang Đức</t>
        </is>
      </c>
      <c r="N18" s="2" t="inlineStr">
        <is>
          <t>Bình thường</t>
        </is>
      </c>
      <c r="O18" s="2" t="n"/>
      <c r="P18" s="2" t="inlineStr">
        <is>
          <t>Đề tài KC.09.15/16-20</t>
        </is>
      </c>
      <c r="Q18" s="2" t="n"/>
      <c r="R18" s="2" t="n"/>
      <c r="S18" s="2" t="n"/>
    </row>
    <row r="19">
      <c r="A19" s="2" t="n">
        <v>23</v>
      </c>
      <c r="B19" s="2" t="inlineStr">
        <is>
          <t>HMO-INF-7750</t>
        </is>
      </c>
      <c r="C19" s="2" t="n">
        <v>7750</v>
      </c>
      <c r="D19" s="2" t="inlineStr">
        <is>
          <t>INF</t>
        </is>
      </c>
      <c r="E19" s="2" t="inlineStr">
        <is>
          <t>Hạ tầng phụ trợ</t>
        </is>
      </c>
      <c r="F19" s="2" t="inlineStr">
        <is>
          <t>UPS Emerson Liebert PS2200RT3-230</t>
        </is>
      </c>
      <c r="G19" s="2" t="inlineStr">
        <is>
          <t>UPS Emerson Liebert PS2200RT3-230 2200VA / 1980W</t>
        </is>
      </c>
      <c r="H19" s="2" t="inlineStr">
        <is>
          <t>China</t>
        </is>
      </c>
      <c r="I19" s="2" t="n">
        <v>2013</v>
      </c>
      <c r="J19" s="2" t="n">
        <v>1</v>
      </c>
      <c r="K19" s="2" t="n">
        <v>15.096</v>
      </c>
      <c r="L19" s="2" t="inlineStr">
        <is>
          <t>P207-T3</t>
        </is>
      </c>
      <c r="M19" s="2" t="inlineStr">
        <is>
          <t>Phan Văn Tân</t>
        </is>
      </c>
      <c r="N19" s="2" t="inlineStr">
        <is>
          <t>Bình thường</t>
        </is>
      </c>
      <c r="O19" s="2" t="n"/>
      <c r="P19" s="2" t="inlineStr">
        <is>
          <t>Dự án 11-P04-VIE; QĐ bàn giao cho Khoa số 773//QĐ-KHCN ngày 3/29/2017</t>
        </is>
      </c>
      <c r="Q19" s="2" t="n"/>
      <c r="R19" s="2" t="n"/>
      <c r="S19" s="2" t="n"/>
    </row>
    <row r="20">
      <c r="A20" s="2" t="n">
        <v>35</v>
      </c>
      <c r="B20" s="2" t="inlineStr">
        <is>
          <t>HMO-INF-7898</t>
        </is>
      </c>
      <c r="C20" s="2" t="n">
        <v>7898</v>
      </c>
      <c r="D20" s="2" t="inlineStr">
        <is>
          <t>INF</t>
        </is>
      </c>
      <c r="E20" s="2" t="inlineStr">
        <is>
          <t>Hạ tầng phụ trợ</t>
        </is>
      </c>
      <c r="F20" s="2" t="inlineStr">
        <is>
          <t>Bộ lưu điện</t>
        </is>
      </c>
      <c r="G20" s="2" t="inlineStr">
        <is>
          <t>SmartUPS On-line, SanTak C6KR, 4200Watts/6000VA</t>
        </is>
      </c>
      <c r="H20" s="2" t="inlineStr">
        <is>
          <t>Trung Quốc</t>
        </is>
      </c>
      <c r="I20" s="2" t="n">
        <v>2014</v>
      </c>
      <c r="J20" s="2" t="n">
        <v>1</v>
      </c>
      <c r="K20" s="2" t="n">
        <v>69.2604</v>
      </c>
      <c r="L20" s="2" t="inlineStr">
        <is>
          <t>P206-T3</t>
        </is>
      </c>
      <c r="M20" s="2" t="inlineStr">
        <is>
          <t xml:space="preserve">Phạm Tiến Đạt </t>
        </is>
      </c>
      <c r="N20" s="2" t="inlineStr">
        <is>
          <t>Bình thường</t>
        </is>
      </c>
      <c r="O20" s="2" t="n"/>
      <c r="P20" s="2" t="n"/>
      <c r="Q20" s="2" t="n"/>
      <c r="R20" s="2" t="n"/>
      <c r="S20" s="2" t="n"/>
    </row>
    <row r="21">
      <c r="A21" s="2" t="n">
        <v>36</v>
      </c>
      <c r="B21" s="2" t="inlineStr">
        <is>
          <t>HMO-INF-7899</t>
        </is>
      </c>
      <c r="C21" s="2" t="n">
        <v>7899</v>
      </c>
      <c r="D21" s="2" t="inlineStr">
        <is>
          <t>INF</t>
        </is>
      </c>
      <c r="E21" s="2" t="inlineStr">
        <is>
          <t>Hạ tầng phụ trợ</t>
        </is>
      </c>
      <c r="F21" s="2" t="inlineStr">
        <is>
          <t>Tủ Rack 19 inch 42U</t>
        </is>
      </c>
      <c r="G21" s="2" t="n"/>
      <c r="H21" s="2" t="inlineStr">
        <is>
          <t>Việt Nam</t>
        </is>
      </c>
      <c r="I21" s="2" t="n">
        <v>2014</v>
      </c>
      <c r="J21" s="2" t="n">
        <v>1</v>
      </c>
      <c r="K21" s="2" t="n">
        <v>15.7993</v>
      </c>
      <c r="L21" s="2" t="inlineStr">
        <is>
          <t>P206-T3</t>
        </is>
      </c>
      <c r="M21" s="2" t="inlineStr">
        <is>
          <t xml:space="preserve">Phạm Tiến Đạt </t>
        </is>
      </c>
      <c r="N21" s="2" t="inlineStr">
        <is>
          <t>Bình thường</t>
        </is>
      </c>
      <c r="O21" s="2" t="n"/>
      <c r="P21" s="2" t="n"/>
      <c r="Q21" s="2" t="n"/>
      <c r="R21" s="2" t="n"/>
      <c r="S21" s="2" t="n"/>
    </row>
    <row r="22">
      <c r="A22" s="2" t="n">
        <v>40</v>
      </c>
      <c r="B22" s="2" t="inlineStr">
        <is>
          <t>HMO-INF-7882</t>
        </is>
      </c>
      <c r="C22" s="2" t="n">
        <v>7882</v>
      </c>
      <c r="D22" s="2" t="inlineStr">
        <is>
          <t>INF</t>
        </is>
      </c>
      <c r="E22" s="2" t="inlineStr">
        <is>
          <t>Hạ tầng phụ trợ</t>
        </is>
      </c>
      <c r="F22" s="2" t="inlineStr">
        <is>
          <t>Bộ lưu điện</t>
        </is>
      </c>
      <c r="G22" s="2" t="inlineStr">
        <is>
          <t>SANTAK 6KVA: C6K</t>
        </is>
      </c>
      <c r="H22" s="2" t="inlineStr">
        <is>
          <t>China</t>
        </is>
      </c>
      <c r="I22" s="2" t="n">
        <v>2017</v>
      </c>
      <c r="J22" s="2" t="n">
        <v>1</v>
      </c>
      <c r="K22" s="2" t="n">
        <v>66</v>
      </c>
      <c r="L22" s="2" t="inlineStr">
        <is>
          <t>T3</t>
        </is>
      </c>
      <c r="M22" s="2" t="inlineStr">
        <is>
          <t>Phan Văn Tân</t>
        </is>
      </c>
      <c r="N22" s="2" t="inlineStr">
        <is>
          <t>Bình thường</t>
        </is>
      </c>
      <c r="O22" s="2" t="n"/>
      <c r="P22" s="2" t="inlineStr">
        <is>
          <t>Dự án FIRST-1.a-VNU2-G01</t>
        </is>
      </c>
      <c r="Q22" s="2" t="n"/>
      <c r="R22" s="2" t="n"/>
      <c r="S22" s="2" t="n"/>
    </row>
    <row r="23">
      <c r="A23" s="2" t="n">
        <v>55</v>
      </c>
      <c r="B23" s="2" t="inlineStr">
        <is>
          <t>HMO-LAB-8374</t>
        </is>
      </c>
      <c r="C23" s="2" t="n">
        <v>8374</v>
      </c>
      <c r="D23" s="2" t="inlineStr">
        <is>
          <t>LAB</t>
        </is>
      </c>
      <c r="E23" s="2" t="inlineStr">
        <is>
          <t>Thí nghiệm phòng</t>
        </is>
      </c>
      <c r="F23" s="2" t="inlineStr">
        <is>
          <t>Máy tạo sóng</t>
        </is>
      </c>
      <c r="G23" s="2" t="inlineStr">
        <is>
          <t>Model: HM160.41; Hãng sản xuất: GUNT</t>
        </is>
      </c>
      <c r="H23" s="2" t="inlineStr">
        <is>
          <t>Đức</t>
        </is>
      </c>
      <c r="I23" s="2" t="n">
        <v>2021</v>
      </c>
      <c r="J23" s="2" t="n">
        <v>1</v>
      </c>
      <c r="K23" s="2" t="n">
        <v>373.74</v>
      </c>
      <c r="L23" s="2" t="inlineStr">
        <is>
          <t>P204-T3</t>
        </is>
      </c>
      <c r="M23" s="3" t="inlineStr">
        <is>
          <t>Nguyễn Kim Cương, Phan Nguyễn Hoàng Nam, Phạm Tiến Đạt</t>
        </is>
      </c>
      <c r="N23" s="5" t="inlineStr">
        <is>
          <t>Tốt</t>
        </is>
      </c>
      <c r="O23" s="2" t="n"/>
      <c r="P23" s="2" t="inlineStr">
        <is>
          <t>DA “Đầu tư nâng cấp các phòng thí nghiệm chuyên đề phục vụ đào tạo về khoa học cơ bản tại ĐHQGHN”</t>
        </is>
      </c>
      <c r="Q23" s="2" t="inlineStr">
        <is>
          <t>Nguyễn Đắc Đa, Phùng Quốc Trung đã chuyển công tác</t>
        </is>
      </c>
      <c r="R23" s="3" t="inlineStr">
        <is>
          <t>Có</t>
        </is>
      </c>
      <c r="S23" s="2" t="n"/>
    </row>
    <row r="24">
      <c r="A24" s="2" t="n">
        <v>56</v>
      </c>
      <c r="B24" s="2" t="inlineStr">
        <is>
          <t>HMO-LAB-8375</t>
        </is>
      </c>
      <c r="C24" s="2" t="n">
        <v>8375</v>
      </c>
      <c r="D24" s="2" t="inlineStr">
        <is>
          <t>LAB</t>
        </is>
      </c>
      <c r="E24" s="2" t="inlineStr">
        <is>
          <t>Thí nghiệm phòng</t>
        </is>
      </c>
      <c r="F24" s="2" t="inlineStr">
        <is>
          <t>Mô phỏng bãi biển bằng phẳng</t>
        </is>
      </c>
      <c r="G24" s="2" t="inlineStr">
        <is>
          <t>Model: HM160.42; Hãng sản xuất: GUNT</t>
        </is>
      </c>
      <c r="H24" s="2" t="inlineStr">
        <is>
          <t>Đức</t>
        </is>
      </c>
      <c r="I24" s="2" t="n">
        <v>2021</v>
      </c>
      <c r="J24" s="2" t="n">
        <v>1</v>
      </c>
      <c r="K24" s="2" t="n">
        <v>64.88</v>
      </c>
      <c r="L24" s="2" t="inlineStr">
        <is>
          <t>P204-T3</t>
        </is>
      </c>
      <c r="M24" s="3" t="inlineStr">
        <is>
          <t>Nguyễn Kim Cương, Phan Nguyễn Hoàng Nam, Phạm Tiến Đạt</t>
        </is>
      </c>
      <c r="N24" s="5" t="inlineStr">
        <is>
          <t>Tốt</t>
        </is>
      </c>
      <c r="O24" s="2" t="n"/>
      <c r="P24" s="2" t="inlineStr">
        <is>
          <t>DA “Đầu tư nâng cấp các phòng thí nghiệm chuyên đề phục vụ đào tạo về khoa học cơ bản tại ĐHQGHN”</t>
        </is>
      </c>
      <c r="Q24" s="2" t="inlineStr">
        <is>
          <t>Nguyễn Đắc Đa, Phùng Quốc Trung đã chuyển công tác</t>
        </is>
      </c>
      <c r="R24" s="3" t="inlineStr">
        <is>
          <t>Có</t>
        </is>
      </c>
      <c r="S24" s="2" t="n"/>
    </row>
    <row r="25">
      <c r="A25" s="2" t="n">
        <v>57</v>
      </c>
      <c r="B25" s="2" t="inlineStr">
        <is>
          <t>HMO-LAB-8376</t>
        </is>
      </c>
      <c r="C25" s="2" t="n">
        <v>8376</v>
      </c>
      <c r="D25" s="2" t="inlineStr">
        <is>
          <t>LAB</t>
        </is>
      </c>
      <c r="E25" s="2" t="inlineStr">
        <is>
          <t>Thí nghiệm phòng</t>
        </is>
      </c>
      <c r="F25" s="2" t="inlineStr">
        <is>
          <t>Bẫy trầm tích</t>
        </is>
      </c>
      <c r="G25" s="2" t="inlineStr">
        <is>
          <t>Model: HM160.72; Hãng sản xuất: GUNT</t>
        </is>
      </c>
      <c r="H25" s="2" t="inlineStr">
        <is>
          <t>Đức</t>
        </is>
      </c>
      <c r="I25" s="2" t="n">
        <v>2021</v>
      </c>
      <c r="J25" s="2" t="n">
        <v>1</v>
      </c>
      <c r="K25" s="2" t="n">
        <v>202.72</v>
      </c>
      <c r="L25" s="2" t="inlineStr">
        <is>
          <t>P204-T3</t>
        </is>
      </c>
      <c r="M25" s="3" t="inlineStr">
        <is>
          <t>Nguyễn Kim Cương, Phan Nguyễn Hoàng Nam, Phạm Tiến Đạt</t>
        </is>
      </c>
      <c r="N25" s="5" t="inlineStr">
        <is>
          <t>Tốt</t>
        </is>
      </c>
      <c r="O25" s="2" t="n"/>
      <c r="P25" s="2" t="inlineStr">
        <is>
          <t>DA “Đầu tư nâng cấp các phòng thí nghiệm chuyên đề phục vụ đào tạo về khoa học cơ bản tại ĐHQGHN”</t>
        </is>
      </c>
      <c r="Q25" s="2" t="inlineStr">
        <is>
          <t>Nguyễn Đắc Đa, Phùng Quốc Trung đã chuyển công tác</t>
        </is>
      </c>
      <c r="R25" s="3" t="inlineStr">
        <is>
          <t>Có</t>
        </is>
      </c>
      <c r="S25" s="2" t="n"/>
    </row>
    <row r="26">
      <c r="A26" s="2" t="n">
        <v>58</v>
      </c>
      <c r="B26" s="2" t="inlineStr">
        <is>
          <t>HMO-LAB-8377</t>
        </is>
      </c>
      <c r="C26" s="2" t="n">
        <v>8377</v>
      </c>
      <c r="D26" s="2" t="inlineStr">
        <is>
          <t>LAB</t>
        </is>
      </c>
      <c r="E26" s="2" t="inlineStr">
        <is>
          <t>Thí nghiệm phòng</t>
        </is>
      </c>
      <c r="F26" s="2" t="inlineStr">
        <is>
          <t>Bộ cấp trầm tích</t>
        </is>
      </c>
      <c r="G26" s="2" t="inlineStr">
        <is>
          <t>Model: HM160.73; Hãng sản xuất: GUNT</t>
        </is>
      </c>
      <c r="H26" s="2" t="inlineStr">
        <is>
          <t>Đức</t>
        </is>
      </c>
      <c r="I26" s="2" t="n">
        <v>2021</v>
      </c>
      <c r="J26" s="2" t="n">
        <v>1</v>
      </c>
      <c r="K26" s="2" t="n">
        <v>430.05</v>
      </c>
      <c r="L26" s="2" t="inlineStr">
        <is>
          <t>P204-T3</t>
        </is>
      </c>
      <c r="M26" s="3" t="inlineStr">
        <is>
          <t>Nguyễn Kim Cương, Phan Nguyễn Hoàng Nam, Phạm Tiến Đạt</t>
        </is>
      </c>
      <c r="N26" s="5" t="inlineStr">
        <is>
          <t>Tốt</t>
        </is>
      </c>
      <c r="O26" s="2" t="n"/>
      <c r="P26" s="2" t="inlineStr">
        <is>
          <t>DA “Đầu tư nâng cấp các phòng thí nghiệm chuyên đề phục vụ đào tạo về khoa học cơ bản tại ĐHQGHN”</t>
        </is>
      </c>
      <c r="Q26" s="2" t="inlineStr">
        <is>
          <t>Nguyễn Đắc Đa, Phùng Quốc Trung đã chuyển công tác</t>
        </is>
      </c>
      <c r="R26" s="3" t="inlineStr">
        <is>
          <t>Có</t>
        </is>
      </c>
      <c r="S26" s="2" t="n"/>
    </row>
    <row r="27">
      <c r="A27" s="2" t="n">
        <v>59</v>
      </c>
      <c r="B27" s="2" t="inlineStr">
        <is>
          <t>HMO-LAB-8379</t>
        </is>
      </c>
      <c r="C27" s="2" t="n">
        <v>8379</v>
      </c>
      <c r="D27" s="2" t="inlineStr">
        <is>
          <t>LAB</t>
        </is>
      </c>
      <c r="E27" s="2" t="inlineStr">
        <is>
          <t>Thí nghiệm phòng</t>
        </is>
      </c>
      <c r="F27" s="2" t="inlineStr">
        <is>
          <t>Mười áp kế dạng ống</t>
        </is>
      </c>
      <c r="G27" s="2" t="inlineStr">
        <is>
          <t>Model: HM160.53; Hãng sản xuất: GUNT</t>
        </is>
      </c>
      <c r="H27" s="2" t="inlineStr">
        <is>
          <t>Đức</t>
        </is>
      </c>
      <c r="I27" s="2" t="n">
        <v>2021</v>
      </c>
      <c r="J27" s="2" t="n">
        <v>1</v>
      </c>
      <c r="K27" s="2" t="n">
        <v>69.55</v>
      </c>
      <c r="L27" s="2" t="inlineStr">
        <is>
          <t>P204-T3</t>
        </is>
      </c>
      <c r="M27" s="3" t="inlineStr">
        <is>
          <t>Nguyễn Kim Cương, Phan Nguyễn Hoàng Nam, Phạm Tiến Đạt</t>
        </is>
      </c>
      <c r="N27" s="5" t="inlineStr">
        <is>
          <t>Tốt</t>
        </is>
      </c>
      <c r="O27" s="2" t="n"/>
      <c r="P27" s="2" t="inlineStr">
        <is>
          <t>DA “Đầu tư nâng cấp các phòng thí nghiệm chuyên đề phục vụ đào tạo về khoa học cơ bản tại ĐHQGHN”</t>
        </is>
      </c>
      <c r="Q27" s="2" t="inlineStr">
        <is>
          <t>Nguyễn Đắc Đa, Phùng Quốc Trung đã chuyển công tác</t>
        </is>
      </c>
      <c r="R27" s="3" t="inlineStr">
        <is>
          <t>Có</t>
        </is>
      </c>
      <c r="S27" s="2" t="n"/>
    </row>
    <row r="28">
      <c r="A28" s="2" t="n">
        <v>62</v>
      </c>
      <c r="B28" s="2" t="inlineStr">
        <is>
          <t>HMO-LAB-8373</t>
        </is>
      </c>
      <c r="C28" s="2" t="n">
        <v>8373</v>
      </c>
      <c r="D28" s="2" t="inlineStr">
        <is>
          <t>LAB</t>
        </is>
      </c>
      <c r="E28" s="2" t="inlineStr">
        <is>
          <t>Thí nghiệm phòng</t>
        </is>
      </c>
      <c r="F28" s="2" t="inlineStr">
        <is>
          <t>Máng thực nghiệm</t>
        </is>
      </c>
      <c r="G28" s="2" t="inlineStr">
        <is>
          <t>Model: HM160; Hãng sản xuất: GUNT</t>
        </is>
      </c>
      <c r="H28" s="2" t="inlineStr">
        <is>
          <t>Đức</t>
        </is>
      </c>
      <c r="I28" s="2" t="n">
        <v>2021</v>
      </c>
      <c r="J28" s="2" t="n">
        <v>1</v>
      </c>
      <c r="K28" s="2" t="n">
        <v>2262.61</v>
      </c>
      <c r="L28" s="2" t="inlineStr">
        <is>
          <t>P204-T3</t>
        </is>
      </c>
      <c r="M28" s="3" t="inlineStr">
        <is>
          <t>Nguyễn Kim Cương, Phan Nguyễn Hoàng Nam, Phạm Tiến Đạt</t>
        </is>
      </c>
      <c r="N28" s="5" t="inlineStr">
        <is>
          <t>Tốt</t>
        </is>
      </c>
      <c r="O28" s="2" t="n"/>
      <c r="P28" s="2" t="inlineStr">
        <is>
          <t>DA “Đầu tư nâng cấp các phòng thí nghiệm chuyên đề phục vụ đào tạo về khoa học cơ bản tại ĐHQGHN”</t>
        </is>
      </c>
      <c r="Q28" s="2" t="n"/>
      <c r="R28" s="2" t="n"/>
      <c r="S28" s="2" t="n"/>
    </row>
    <row r="29">
      <c r="A29" s="2" t="n">
        <v>66</v>
      </c>
      <c r="B29" s="2" t="inlineStr">
        <is>
          <t>HMO-LAB-8695</t>
        </is>
      </c>
      <c r="C29" s="2" t="n">
        <v>8695</v>
      </c>
      <c r="D29" s="2" t="inlineStr">
        <is>
          <t>LAB</t>
        </is>
      </c>
      <c r="E29" s="2" t="inlineStr">
        <is>
          <t>Thí nghiệm phòng</t>
        </is>
      </c>
      <c r="F29" s="2" t="inlineStr">
        <is>
          <t>Bộ thí nghiệm mô phỏng dòng chảy qua các công trình</t>
        </is>
      </c>
      <c r="G29" s="2" t="inlineStr">
        <is>
          <t>- Model: FC15 - Hãng sản xuất: Tecquipment - Xuất xứ: Anh</t>
        </is>
      </c>
      <c r="H29" s="2" t="inlineStr">
        <is>
          <t>Anh</t>
        </is>
      </c>
      <c r="I29" s="2" t="n">
        <v>2023</v>
      </c>
      <c r="J29" s="2" t="n">
        <v>1</v>
      </c>
      <c r="K29" s="2" t="n">
        <v>420</v>
      </c>
      <c r="L29" s="2" t="inlineStr">
        <is>
          <t>P401-T3</t>
        </is>
      </c>
      <c r="M29" s="2" t="inlineStr">
        <is>
          <t xml:space="preserve">Trịnh Minh Ngọc, Đặng Trần Đức Minh </t>
        </is>
      </c>
      <c r="N29" s="5" t="inlineStr">
        <is>
          <t>Tốt</t>
        </is>
      </c>
      <c r="O29" s="2" t="n"/>
      <c r="P29" s="2" t="inlineStr">
        <is>
          <t>DA Ngành mở mới (4Khoa), QĐ 5073/QĐ-ĐHKHTN ngày 12/29/2023</t>
        </is>
      </c>
      <c r="Q29" s="2" t="n"/>
      <c r="R29" s="2" t="n"/>
      <c r="S29" s="2" t="n"/>
    </row>
    <row r="30">
      <c r="A30" s="2" t="n">
        <v>67</v>
      </c>
      <c r="B30" s="2" t="inlineStr">
        <is>
          <t>HMO-LAB-8696</t>
        </is>
      </c>
      <c r="C30" s="2" t="n">
        <v>8696</v>
      </c>
      <c r="D30" s="2" t="inlineStr">
        <is>
          <t>LAB</t>
        </is>
      </c>
      <c r="E30" s="2" t="inlineStr">
        <is>
          <t>Thí nghiệm phòng</t>
        </is>
      </c>
      <c r="F30" s="2" t="inlineStr">
        <is>
          <t>Bộ mô hình Mô phỏng các quá trình thủy văn</t>
        </is>
      </c>
      <c r="G30" s="2" t="inlineStr">
        <is>
          <t>- Model: H313V - Hãng sản xuất: Tecquipment - Xuất xứ: Anh</t>
        </is>
      </c>
      <c r="H30" s="2" t="inlineStr">
        <is>
          <t>Anh</t>
        </is>
      </c>
      <c r="I30" s="2" t="n">
        <v>2023</v>
      </c>
      <c r="J30" s="2" t="n">
        <v>1</v>
      </c>
      <c r="K30" s="2" t="n">
        <v>2100</v>
      </c>
      <c r="L30" s="2" t="inlineStr">
        <is>
          <t>P401-T3</t>
        </is>
      </c>
      <c r="M30" s="2" t="inlineStr">
        <is>
          <t xml:space="preserve">Trịnh Minh Ngọc, Đặng Trần Đức Minh </t>
        </is>
      </c>
      <c r="N30" s="5" t="inlineStr">
        <is>
          <t>Tốt</t>
        </is>
      </c>
      <c r="O30" s="2" t="n"/>
      <c r="P30" s="2" t="inlineStr">
        <is>
          <t>DA Ngành mở mới (4Khoa), QĐ 5073/QĐ-ĐHKHTN ngày 12/29/2023</t>
        </is>
      </c>
      <c r="Q30" s="2" t="n"/>
      <c r="R30" s="2" t="n"/>
      <c r="S30" s="2" t="n"/>
    </row>
    <row r="31">
      <c r="A31" s="2" t="n">
        <v>68</v>
      </c>
      <c r="B31" s="2" t="inlineStr">
        <is>
          <t>HMO-LAB-8697</t>
        </is>
      </c>
      <c r="C31" s="2" t="n">
        <v>8697</v>
      </c>
      <c r="D31" s="2" t="inlineStr">
        <is>
          <t>LAB</t>
        </is>
      </c>
      <c r="E31" s="2" t="inlineStr">
        <is>
          <t>Thí nghiệm phòng</t>
        </is>
      </c>
      <c r="F31" s="2" t="inlineStr">
        <is>
          <t>Bộ mô hình Dòng chảy kênh mương hở</t>
        </is>
      </c>
      <c r="G31" s="2" t="inlineStr">
        <is>
          <t>- Model: FC50-2.5 - Hãng sản xuất: Tecquipment - Xuất xứ: Anh</t>
        </is>
      </c>
      <c r="H31" s="2" t="inlineStr">
        <is>
          <t>Anh</t>
        </is>
      </c>
      <c r="I31" s="2" t="n">
        <v>2023</v>
      </c>
      <c r="J31" s="2" t="n">
        <v>1</v>
      </c>
      <c r="K31" s="2" t="n">
        <v>750</v>
      </c>
      <c r="L31" s="2" t="inlineStr">
        <is>
          <t>P401-T3</t>
        </is>
      </c>
      <c r="M31" s="2" t="inlineStr">
        <is>
          <t xml:space="preserve">Trịnh Minh Ngọc, Đặng Trần Đức Minh </t>
        </is>
      </c>
      <c r="N31" s="5" t="inlineStr">
        <is>
          <t>Tốt</t>
        </is>
      </c>
      <c r="O31" s="2" t="n"/>
      <c r="P31" s="2" t="inlineStr">
        <is>
          <t>DA Ngành mở mới (4Khoa), QĐ 5073/QĐ-ĐHKHTN ngày 12/29/2023</t>
        </is>
      </c>
      <c r="Q31" s="2" t="n"/>
      <c r="R31" s="2" t="n"/>
      <c r="S31" s="2" t="n"/>
    </row>
    <row r="32">
      <c r="A32" s="2" t="n">
        <v>72</v>
      </c>
      <c r="B32" s="2" t="inlineStr">
        <is>
          <t>HMO-LAB-8691</t>
        </is>
      </c>
      <c r="C32" s="2" t="n">
        <v>8691</v>
      </c>
      <c r="D32" s="2" t="inlineStr">
        <is>
          <t>LAB</t>
        </is>
      </c>
      <c r="E32" s="2" t="inlineStr">
        <is>
          <t>Thí nghiệm phòng</t>
        </is>
      </c>
      <c r="F32" s="2" t="inlineStr">
        <is>
          <t>Bộ thí nghiệm tính thấm của đất</t>
        </is>
      </c>
      <c r="G32" s="2" t="inlineStr">
        <is>
          <t>- Hãng sản xuất: T-Tech - Xuất xứ: Việt Nam</t>
        </is>
      </c>
      <c r="H32" s="2" t="inlineStr">
        <is>
          <t>Việt Nam</t>
        </is>
      </c>
      <c r="I32" s="2" t="n">
        <v>2023</v>
      </c>
      <c r="J32" s="2" t="n">
        <v>1</v>
      </c>
      <c r="K32" s="2" t="n">
        <v>11</v>
      </c>
      <c r="L32" s="2" t="inlineStr">
        <is>
          <t>P401-T3</t>
        </is>
      </c>
      <c r="M32" s="2" t="inlineStr">
        <is>
          <t xml:space="preserve">Trịnh Minh Ngọc, Đặng Trần Đức Minh </t>
        </is>
      </c>
      <c r="N32" s="5" t="inlineStr">
        <is>
          <t>Tốt</t>
        </is>
      </c>
      <c r="O32" s="2" t="n"/>
      <c r="P32" s="2" t="inlineStr">
        <is>
          <t>DA Ngành mở mới (4Khoa), QĐ 5073/QĐ-ĐHKHTN ngày 12/29/2023</t>
        </is>
      </c>
      <c r="Q32" s="2" t="n"/>
      <c r="R32" s="2" t="n"/>
      <c r="S32" s="2" t="n"/>
    </row>
    <row r="33">
      <c r="A33" s="2" t="n">
        <v>14</v>
      </c>
      <c r="B33" s="2" t="inlineStr">
        <is>
          <t>HMO-NET-7308</t>
        </is>
      </c>
      <c r="C33" s="2" t="n">
        <v>7308</v>
      </c>
      <c r="D33" s="2" t="inlineStr">
        <is>
          <t>NET</t>
        </is>
      </c>
      <c r="E33" s="2" t="inlineStr">
        <is>
          <t>Thiết bị mạng</t>
        </is>
      </c>
      <c r="F33" s="2" t="inlineStr">
        <is>
          <t>Mellanox copper cable - QSFP to CX4</t>
        </is>
      </c>
      <c r="G33" s="2" t="inlineStr">
        <is>
          <t>Mellanox-Asian</t>
        </is>
      </c>
      <c r="H33" s="2" t="inlineStr">
        <is>
          <t>Trung Quốc</t>
        </is>
      </c>
      <c r="I33" s="2" t="n">
        <v>2012</v>
      </c>
      <c r="J33" s="2" t="n">
        <v>14</v>
      </c>
      <c r="K33" s="2" t="n">
        <v>75.768</v>
      </c>
      <c r="L33" s="2" t="inlineStr">
        <is>
          <t>P206-T3</t>
        </is>
      </c>
      <c r="M33" s="3" t="inlineStr">
        <is>
          <t xml:space="preserve">Phạm Tiến Đạt </t>
        </is>
      </c>
      <c r="N33" s="2" t="inlineStr">
        <is>
          <t>Bình thường</t>
        </is>
      </c>
      <c r="O33" s="2" t="n"/>
      <c r="P33" s="2" t="n"/>
      <c r="Q33" s="2" t="inlineStr">
        <is>
          <t>PGS.TS Ngô Đức Thành đã chuyển công tác</t>
        </is>
      </c>
      <c r="R33" s="3" t="inlineStr">
        <is>
          <t>Có</t>
        </is>
      </c>
      <c r="S33" s="2" t="n"/>
    </row>
    <row r="34">
      <c r="A34" s="2" t="n">
        <v>18</v>
      </c>
      <c r="B34" s="2" t="inlineStr">
        <is>
          <t>HMO-NET-7307</t>
        </is>
      </c>
      <c r="C34" s="2" t="n">
        <v>7307</v>
      </c>
      <c r="D34" s="2" t="inlineStr">
        <is>
          <t>NET</t>
        </is>
      </c>
      <c r="E34" s="2" t="inlineStr">
        <is>
          <t>Thiết bị mạng</t>
        </is>
      </c>
      <c r="F34" s="2" t="inlineStr">
        <is>
          <t>Card nối mạng</t>
        </is>
      </c>
      <c r="G34" s="2" t="inlineStr">
        <is>
          <t>Mellanox-Asian</t>
        </is>
      </c>
      <c r="H34" s="2" t="inlineStr">
        <is>
          <t>Trung Quốc</t>
        </is>
      </c>
      <c r="I34" s="2" t="n">
        <v>2012</v>
      </c>
      <c r="J34" s="2" t="n">
        <v>14</v>
      </c>
      <c r="K34" s="2" t="n">
        <v>90.86</v>
      </c>
      <c r="L34" s="2" t="inlineStr">
        <is>
          <t>P206-T3</t>
        </is>
      </c>
      <c r="M34" s="3" t="inlineStr">
        <is>
          <t xml:space="preserve">Phạm Tiến Đạt </t>
        </is>
      </c>
      <c r="N34" s="2" t="inlineStr">
        <is>
          <t>Bình thường</t>
        </is>
      </c>
      <c r="O34" s="2" t="n"/>
      <c r="P34" s="2" t="n"/>
      <c r="Q34" s="2" t="inlineStr">
        <is>
          <t>PGS.TS Ngô Đức Thành đã chuyển công tác</t>
        </is>
      </c>
      <c r="R34" s="3" t="inlineStr">
        <is>
          <t>Có</t>
        </is>
      </c>
      <c r="S34" s="2" t="n"/>
    </row>
    <row r="35">
      <c r="A35" s="2" t="n">
        <v>19</v>
      </c>
      <c r="B35" s="2" t="inlineStr">
        <is>
          <t>HMO-NET-7306</t>
        </is>
      </c>
      <c r="C35" s="2" t="n">
        <v>7306</v>
      </c>
      <c r="D35" s="2" t="inlineStr">
        <is>
          <t>NET</t>
        </is>
      </c>
      <c r="E35" s="2" t="inlineStr">
        <is>
          <t>Thiết bị mạng</t>
        </is>
      </c>
      <c r="F35" s="2" t="inlineStr">
        <is>
          <t>Hộp chia cổng nối mạng Mellanox</t>
        </is>
      </c>
      <c r="G35" s="2" t="inlineStr">
        <is>
          <t>Mellanox-Asian</t>
        </is>
      </c>
      <c r="H35" s="2" t="inlineStr">
        <is>
          <t>Trung Quốc</t>
        </is>
      </c>
      <c r="I35" s="2" t="n">
        <v>2012</v>
      </c>
      <c r="J35" s="2" t="n">
        <v>1</v>
      </c>
      <c r="K35" s="2" t="n">
        <v>132</v>
      </c>
      <c r="L35" s="2" t="inlineStr">
        <is>
          <t>P206-T3</t>
        </is>
      </c>
      <c r="M35" s="3" t="inlineStr">
        <is>
          <t xml:space="preserve">Phạm Tiến Đạt </t>
        </is>
      </c>
      <c r="N35" s="2" t="inlineStr">
        <is>
          <t>Bình thường</t>
        </is>
      </c>
      <c r="O35" s="2" t="n"/>
      <c r="P35" s="2" t="n"/>
      <c r="Q35" s="2" t="inlineStr">
        <is>
          <t>PGS.TS Ngô Đức Thành đã chuyển công tác</t>
        </is>
      </c>
      <c r="R35" s="3" t="inlineStr">
        <is>
          <t>Có</t>
        </is>
      </c>
      <c r="S35" s="2" t="n"/>
    </row>
    <row r="36">
      <c r="A36" s="2" t="n">
        <v>24</v>
      </c>
      <c r="B36" s="2" t="inlineStr">
        <is>
          <t>HMO-NET-7751</t>
        </is>
      </c>
      <c r="C36" s="2" t="n">
        <v>7751</v>
      </c>
      <c r="D36" s="2" t="inlineStr">
        <is>
          <t>NET</t>
        </is>
      </c>
      <c r="E36" s="2" t="inlineStr">
        <is>
          <t>Thiết bị mạng</t>
        </is>
      </c>
      <c r="F36" s="2" t="inlineStr">
        <is>
          <t>Switch Cisco Catalyst WS-C2960-24TT-L</t>
        </is>
      </c>
      <c r="G36" s="2" t="inlineStr">
        <is>
          <t>Thiết bị mạng Switch Cisco Catalyst WS-C2960-24TT-L</t>
        </is>
      </c>
      <c r="H36" s="2" t="inlineStr">
        <is>
          <t>China</t>
        </is>
      </c>
      <c r="I36" s="2" t="n">
        <v>2013</v>
      </c>
      <c r="J36" s="2" t="n">
        <v>1</v>
      </c>
      <c r="K36" s="2" t="n">
        <v>17.618</v>
      </c>
      <c r="L36" s="2" t="inlineStr">
        <is>
          <t>P207-T3</t>
        </is>
      </c>
      <c r="M36" s="2" t="inlineStr">
        <is>
          <t>Phan Văn Tân</t>
        </is>
      </c>
      <c r="N36" s="2" t="inlineStr">
        <is>
          <t>Bình thường</t>
        </is>
      </c>
      <c r="O36" s="2" t="n"/>
      <c r="P36" s="2" t="inlineStr">
        <is>
          <t>Dự án 11-P04-VIE; QĐ bàn giao cho Khoa số 773//QĐ-KHCN ngày 3/29/2017</t>
        </is>
      </c>
      <c r="Q36" s="2" t="n"/>
      <c r="R36" s="2" t="n"/>
      <c r="S36" s="2" t="n"/>
    </row>
    <row r="37">
      <c r="A37" s="2" t="n">
        <v>25</v>
      </c>
      <c r="B37" s="2" t="inlineStr">
        <is>
          <t>HMO-NET-7752</t>
        </is>
      </c>
      <c r="C37" s="2" t="n">
        <v>7752</v>
      </c>
      <c r="D37" s="2" t="inlineStr">
        <is>
          <t>NET</t>
        </is>
      </c>
      <c r="E37" s="2" t="inlineStr">
        <is>
          <t>Thiết bị mạng</t>
        </is>
      </c>
      <c r="F37" s="2" t="inlineStr">
        <is>
          <t>Bộ định tuyến không dây LINKSYS EA6500</t>
        </is>
      </c>
      <c r="G37" s="2" t="inlineStr">
        <is>
          <t>Bộ định tuyến không dây LINKSYS EA6500</t>
        </is>
      </c>
      <c r="H37" s="2" t="inlineStr">
        <is>
          <t>China</t>
        </is>
      </c>
      <c r="I37" s="2" t="n">
        <v>2013</v>
      </c>
      <c r="J37" s="2" t="n">
        <v>1</v>
      </c>
      <c r="K37" s="2" t="n">
        <v>6.068</v>
      </c>
      <c r="L37" s="2" t="inlineStr">
        <is>
          <t>P207-T3</t>
        </is>
      </c>
      <c r="M37" s="2" t="inlineStr">
        <is>
          <t>Phan Văn Tân</t>
        </is>
      </c>
      <c r="N37" s="2" t="inlineStr">
        <is>
          <t>Bình thường</t>
        </is>
      </c>
      <c r="O37" s="2" t="n"/>
      <c r="P37" s="2" t="inlineStr">
        <is>
          <t>Dự án 11-P04-VIE; QĐ bàn giao cho Khoa số 773//QĐ-KHCN ngày 3/29/2017</t>
        </is>
      </c>
      <c r="Q37" s="2" t="n"/>
      <c r="R37" s="2" t="n"/>
      <c r="S37" s="2" t="n"/>
    </row>
    <row r="38">
      <c r="A38" s="2" t="n">
        <v>33</v>
      </c>
      <c r="B38" s="2" t="inlineStr">
        <is>
          <t>HMO-NET-7758</t>
        </is>
      </c>
      <c r="C38" s="2" t="n">
        <v>7758</v>
      </c>
      <c r="D38" s="2" t="inlineStr">
        <is>
          <t>NET</t>
        </is>
      </c>
      <c r="E38" s="2" t="inlineStr">
        <is>
          <t>Thiết bị mạng</t>
        </is>
      </c>
      <c r="F38" s="2" t="inlineStr">
        <is>
          <t>PKNK Cable Thunderbolt to Ethernet gigabit</t>
        </is>
      </c>
      <c r="G38" s="2" t="inlineStr">
        <is>
          <t>PKNK Cable Thunderbolt to Ethernet gigabit</t>
        </is>
      </c>
      <c r="H38" s="2" t="inlineStr">
        <is>
          <t>China</t>
        </is>
      </c>
      <c r="I38" s="2" t="n">
        <v>2014</v>
      </c>
      <c r="J38" s="2" t="n">
        <v>1</v>
      </c>
      <c r="K38" s="2" t="n">
        <v>1.081818</v>
      </c>
      <c r="L38" s="2" t="inlineStr">
        <is>
          <t>P207-T3</t>
        </is>
      </c>
      <c r="M38" s="2" t="inlineStr">
        <is>
          <t>Phan Văn Tân</t>
        </is>
      </c>
      <c r="N38" s="2" t="inlineStr">
        <is>
          <t>Bình thường</t>
        </is>
      </c>
      <c r="O38" s="2" t="n"/>
      <c r="P38" s="2" t="inlineStr">
        <is>
          <t>Dự án 11-P04-VIE; QĐ bàn giao cho Khoa số 773//QĐ-KHCN ngày 3/29/2017</t>
        </is>
      </c>
      <c r="Q38" s="2" t="n"/>
      <c r="R38" s="2" t="n"/>
      <c r="S38" s="2" t="n"/>
    </row>
    <row r="39">
      <c r="A39" s="2" t="n">
        <v>37</v>
      </c>
      <c r="B39" s="2" t="inlineStr">
        <is>
          <t>HMO-NET-7759</t>
        </is>
      </c>
      <c r="C39" s="2" t="n">
        <v>7759</v>
      </c>
      <c r="D39" s="2" t="inlineStr">
        <is>
          <t>NET</t>
        </is>
      </c>
      <c r="E39" s="2" t="inlineStr">
        <is>
          <t>Thiết bị mạng</t>
        </is>
      </c>
      <c r="F39" s="2" t="inlineStr">
        <is>
          <t>Wireless access point TP-LINK TL-WR940N</t>
        </is>
      </c>
      <c r="G39" s="2" t="inlineStr">
        <is>
          <t>Wireless access point TP-LINK TL-WR940N</t>
        </is>
      </c>
      <c r="H39" s="2" t="inlineStr">
        <is>
          <t>China</t>
        </is>
      </c>
      <c r="I39" s="2" t="n">
        <v>2016</v>
      </c>
      <c r="J39" s="2" t="n">
        <v>1</v>
      </c>
      <c r="K39" s="2" t="n">
        <v>0.5445449999999999</v>
      </c>
      <c r="L39" s="2" t="inlineStr">
        <is>
          <t>P207-T3</t>
        </is>
      </c>
      <c r="M39" s="2" t="inlineStr">
        <is>
          <t>Phan Văn Tân</t>
        </is>
      </c>
      <c r="N39" s="2" t="inlineStr">
        <is>
          <t>Bình thường</t>
        </is>
      </c>
      <c r="O39" s="2" t="n"/>
      <c r="P39" s="2" t="inlineStr">
        <is>
          <t>Dự án 11-P04-VIE; QĐ bàn giao cho Khoa số 773//QĐ-KHCN ngày 3/29/2017</t>
        </is>
      </c>
      <c r="Q39" s="2" t="n"/>
      <c r="R39" s="2" t="n"/>
      <c r="S39" s="2" t="n"/>
    </row>
    <row r="40">
      <c r="A40" s="2" t="n">
        <v>38</v>
      </c>
      <c r="B40" s="2" t="inlineStr">
        <is>
          <t>HMO-NET-7881</t>
        </is>
      </c>
      <c r="C40" s="2" t="n">
        <v>7881</v>
      </c>
      <c r="D40" s="2" t="inlineStr">
        <is>
          <t>NET</t>
        </is>
      </c>
      <c r="E40" s="2" t="inlineStr">
        <is>
          <t>Thiết bị mạng</t>
        </is>
      </c>
      <c r="F40" s="2" t="inlineStr">
        <is>
          <t>Gigabit Switch 176630000081</t>
        </is>
      </c>
      <c r="G40" s="2" t="inlineStr">
        <is>
          <t>Bộ chuyển mạch 24 cổng Gigabit DrayTek VigorSwitch G2260</t>
        </is>
      </c>
      <c r="H40" s="2" t="inlineStr">
        <is>
          <t>Taiwan</t>
        </is>
      </c>
      <c r="I40" s="2" t="n">
        <v>2017</v>
      </c>
      <c r="J40" s="2" t="n">
        <v>1</v>
      </c>
      <c r="K40" s="2" t="n">
        <v>9.9</v>
      </c>
      <c r="L40" s="2" t="inlineStr">
        <is>
          <t>T3</t>
        </is>
      </c>
      <c r="M40" s="2" t="inlineStr">
        <is>
          <t>Phan Văn Tân</t>
        </is>
      </c>
      <c r="N40" s="2" t="inlineStr">
        <is>
          <t>Bình thường</t>
        </is>
      </c>
      <c r="O40" s="2" t="n"/>
      <c r="P40" s="2" t="inlineStr">
        <is>
          <t>Dự án FIRST-1.a-VNU2-G01</t>
        </is>
      </c>
      <c r="Q40" s="2" t="n"/>
      <c r="R40" s="2" t="n"/>
      <c r="S40" s="2" t="n"/>
    </row>
    <row r="41">
      <c r="A41" s="2" t="n">
        <v>49</v>
      </c>
      <c r="B41" s="2" t="inlineStr">
        <is>
          <t>HMO-NET-7909</t>
        </is>
      </c>
      <c r="C41" s="2" t="n">
        <v>7909</v>
      </c>
      <c r="D41" s="2" t="inlineStr">
        <is>
          <t>NET</t>
        </is>
      </c>
      <c r="E41" s="2" t="inlineStr">
        <is>
          <t>Thiết bị mạng</t>
        </is>
      </c>
      <c r="F41" s="2" t="inlineStr">
        <is>
          <t>Bộ chuyển mạch Infiniband</t>
        </is>
      </c>
      <c r="G41" s="2" t="inlineStr">
        <is>
          <t>Mellanox SX6025 Switch Systems</t>
        </is>
      </c>
      <c r="H41" s="2" t="inlineStr">
        <is>
          <t>Trung Quốc</t>
        </is>
      </c>
      <c r="I41" s="2" t="n">
        <v>2018</v>
      </c>
      <c r="J41" s="2" t="n">
        <v>1</v>
      </c>
      <c r="K41" s="2" t="n">
        <v>379.9999962</v>
      </c>
      <c r="L41" s="2" t="inlineStr">
        <is>
          <t>P206-T3</t>
        </is>
      </c>
      <c r="M41" s="2" t="inlineStr">
        <is>
          <t>Trần Quang Đức</t>
        </is>
      </c>
      <c r="N41" s="2" t="inlineStr">
        <is>
          <t>Bình thường</t>
        </is>
      </c>
      <c r="O41" s="2" t="n"/>
      <c r="P41" s="2" t="inlineStr">
        <is>
          <t>Đề tài KC.09.15/16-20</t>
        </is>
      </c>
      <c r="Q41" s="2" t="n"/>
      <c r="R41" s="2" t="n"/>
      <c r="S41" s="2" t="n"/>
    </row>
    <row r="42">
      <c r="A42" s="2" t="n">
        <v>13</v>
      </c>
      <c r="B42" s="2" t="inlineStr">
        <is>
          <t>HMO-OBS-5617</t>
        </is>
      </c>
      <c r="C42" s="2" t="n">
        <v>5617</v>
      </c>
      <c r="D42" s="2" t="inlineStr">
        <is>
          <t>OBS</t>
        </is>
      </c>
      <c r="E42" s="2" t="inlineStr">
        <is>
          <t>Quan trắc &amp; đo đạc</t>
        </is>
      </c>
      <c r="F42" s="2" t="inlineStr">
        <is>
          <t>Acoustic Wave and Current Profiler(Thiết bị đo sóng và dòng chảy)</t>
        </is>
      </c>
      <c r="G42" s="2" t="inlineStr">
        <is>
          <t>Model: AWAC Acoustic Wave and Current Profiler, Manufacturer: Nortek - Norway</t>
        </is>
      </c>
      <c r="H42" s="2" t="n"/>
      <c r="I42" s="2" t="n">
        <v>2007</v>
      </c>
      <c r="J42" s="2" t="n">
        <v>1</v>
      </c>
      <c r="K42" s="2" t="n">
        <v>769.0919245</v>
      </c>
      <c r="L42" s="2" t="inlineStr">
        <is>
          <t>P204-T3</t>
        </is>
      </c>
      <c r="M42" s="3" t="n"/>
      <c r="N42" s="6" t="inlineStr">
        <is>
          <t>Không hoạt động</t>
        </is>
      </c>
      <c r="O42" s="2" t="n"/>
      <c r="P42" s="2" t="inlineStr">
        <is>
          <t>QD 2449, DA GDH Đại học 1, mức C1, hợp đồng C1.III.2/VNU-IFB C1.III (Đã thanh lý 01 QĐ 602/QĐ-ĐHQGHN ngày 3/11/2022)</t>
        </is>
      </c>
      <c r="Q42" s="2" t="inlineStr">
        <is>
          <t>PGS.TS Nguyễn Thọ Sáo đã mất năm 2023</t>
        </is>
      </c>
      <c r="R42" s="3" t="n"/>
      <c r="S42" s="6" t="inlineStr">
        <is>
          <t>Có</t>
        </is>
      </c>
    </row>
    <row r="43">
      <c r="A43" s="2" t="n">
        <v>16</v>
      </c>
      <c r="B43" s="2" t="inlineStr">
        <is>
          <t>HMO-OBS-6527</t>
        </is>
      </c>
      <c r="C43" s="2" t="n">
        <v>6527</v>
      </c>
      <c r="D43" s="2" t="inlineStr">
        <is>
          <t>OBS</t>
        </is>
      </c>
      <c r="E43" s="2" t="inlineStr">
        <is>
          <t>Quan trắc &amp; đo đạc</t>
        </is>
      </c>
      <c r="F43" s="2" t="inlineStr">
        <is>
          <t>Máy đo lưu lượng nước theo nguyên lý Doppler</t>
        </is>
      </c>
      <c r="G43" s="2" t="inlineStr">
        <is>
          <t>Acoustic Doppler Current Profilers (ADCP), Model: FlowQuest 600Hãng SX: Link-Quest</t>
        </is>
      </c>
      <c r="H43" s="2" t="inlineStr">
        <is>
          <t>Mỹ</t>
        </is>
      </c>
      <c r="I43" s="2" t="n">
        <v>2012</v>
      </c>
      <c r="J43" s="2" t="n">
        <v>2</v>
      </c>
      <c r="K43" s="2" t="n">
        <v>941.6</v>
      </c>
      <c r="L43" s="2" t="inlineStr">
        <is>
          <t>P204-T3</t>
        </is>
      </c>
      <c r="M43" s="2" t="inlineStr">
        <is>
          <t xml:space="preserve">Phạm Tiến Đạt </t>
        </is>
      </c>
      <c r="N43" s="2" t="inlineStr">
        <is>
          <t>Bình thường</t>
        </is>
      </c>
      <c r="O43" s="2" t="n"/>
      <c r="P43" s="2" t="inlineStr">
        <is>
          <t>Dự án TCNL 2012, MS QH1.11.02</t>
        </is>
      </c>
      <c r="Q43" s="2" t="n"/>
      <c r="R43" s="2" t="n"/>
      <c r="S43" s="2" t="n"/>
    </row>
    <row r="44">
      <c r="A44" s="2" t="n">
        <v>20</v>
      </c>
      <c r="B44" s="2" t="inlineStr">
        <is>
          <t>HMO-OBS-6528</t>
        </is>
      </c>
      <c r="C44" s="2" t="n">
        <v>6528</v>
      </c>
      <c r="D44" s="2" t="inlineStr">
        <is>
          <t>OBS</t>
        </is>
      </c>
      <c r="E44" s="2" t="inlineStr">
        <is>
          <t>Quan trắc &amp; đo đạc</t>
        </is>
      </c>
      <c r="F44" s="2" t="inlineStr">
        <is>
          <t>Thiết bị định vị la bàn</t>
        </is>
      </c>
      <c r="G44" s="2" t="inlineStr">
        <is>
          <t>GPS Compass, Model: V102Hãng SX: Hemisphere, Canada</t>
        </is>
      </c>
      <c r="H44" s="2" t="inlineStr">
        <is>
          <t>Canada</t>
        </is>
      </c>
      <c r="I44" s="2" t="n">
        <v>2012</v>
      </c>
      <c r="J44" s="2" t="n">
        <v>2</v>
      </c>
      <c r="K44" s="2" t="n">
        <v>429</v>
      </c>
      <c r="L44" s="2" t="inlineStr">
        <is>
          <t>P204-T3</t>
        </is>
      </c>
      <c r="M44" s="2" t="inlineStr">
        <is>
          <t xml:space="preserve">Phạm Tiến Đạt </t>
        </is>
      </c>
      <c r="N44" s="2" t="inlineStr">
        <is>
          <t>Bình thường</t>
        </is>
      </c>
      <c r="O44" s="2" t="n"/>
      <c r="P44" s="2" t="inlineStr">
        <is>
          <t>Dự án TCNL 2012, MS QH1.11.02</t>
        </is>
      </c>
      <c r="Q44" s="2" t="n"/>
      <c r="R44" s="2" t="n"/>
      <c r="S44" s="2" t="n"/>
    </row>
    <row r="45">
      <c r="A45" s="2" t="n">
        <v>27</v>
      </c>
      <c r="B45" s="2" t="inlineStr">
        <is>
          <t>HMO-OBS-7083</t>
        </is>
      </c>
      <c r="C45" s="2" t="n">
        <v>7083</v>
      </c>
      <c r="D45" s="2" t="inlineStr">
        <is>
          <t>OBS</t>
        </is>
      </c>
      <c r="E45" s="2" t="inlineStr">
        <is>
          <t>Quan trắc &amp; đo đạc</t>
        </is>
      </c>
      <c r="F45" s="4" t="inlineStr">
        <is>
          <t>Thiết bị đo hang lượng kim loại nặng xách tay</t>
        </is>
      </c>
      <c r="G45" s="2" t="inlineStr">
        <is>
          <t>Model: HM1000, Xuất sứ: Wagtech, Anh</t>
        </is>
      </c>
      <c r="H45" s="2" t="inlineStr">
        <is>
          <t>Anh</t>
        </is>
      </c>
      <c r="I45" s="2" t="n">
        <v>2013</v>
      </c>
      <c r="J45" s="2" t="n">
        <v>1</v>
      </c>
      <c r="K45" s="2" t="n">
        <v>320</v>
      </c>
      <c r="L45" s="2" t="inlineStr">
        <is>
          <t>P204-T3</t>
        </is>
      </c>
      <c r="M45" s="2" t="n"/>
      <c r="N45" s="6" t="inlineStr">
        <is>
          <t>Không hoạt động</t>
        </is>
      </c>
      <c r="O45" s="2" t="n"/>
      <c r="P45" s="2" t="inlineStr">
        <is>
          <t>Dự án TCNL 2012, MS dự án QH1.11.02</t>
        </is>
      </c>
      <c r="Q45" s="2" t="inlineStr">
        <is>
          <t>Không có người sử dụng</t>
        </is>
      </c>
      <c r="R45" s="2" t="n"/>
      <c r="S45" s="6" t="inlineStr">
        <is>
          <t>Có</t>
        </is>
      </c>
    </row>
    <row r="46">
      <c r="A46" s="2" t="n">
        <v>28</v>
      </c>
      <c r="B46" s="2" t="inlineStr">
        <is>
          <t>HMO-OBS-7082</t>
        </is>
      </c>
      <c r="C46" s="2" t="n">
        <v>7082</v>
      </c>
      <c r="D46" s="2" t="inlineStr">
        <is>
          <t>OBS</t>
        </is>
      </c>
      <c r="E46" s="2" t="inlineStr">
        <is>
          <t>Quan trắc &amp; đo đạc</t>
        </is>
      </c>
      <c r="F46" s="4" t="inlineStr">
        <is>
          <t>máy phân tích nồng độ dầu OCMA-310</t>
        </is>
      </c>
      <c r="G46" s="2" t="inlineStr">
        <is>
          <t>Model: OCMA-310, Hãng SX: HORIBA Ltd, Nhật Bản</t>
        </is>
      </c>
      <c r="H46" s="2" t="inlineStr">
        <is>
          <t>Nhật</t>
        </is>
      </c>
      <c r="I46" s="2" t="n">
        <v>2013</v>
      </c>
      <c r="J46" s="2" t="n">
        <v>1</v>
      </c>
      <c r="K46" s="2" t="n">
        <v>350</v>
      </c>
      <c r="L46" s="2" t="inlineStr">
        <is>
          <t>P204-T3</t>
        </is>
      </c>
      <c r="M46" s="2" t="n"/>
      <c r="N46" s="6" t="inlineStr">
        <is>
          <t>Không hoạt động</t>
        </is>
      </c>
      <c r="O46" s="2" t="n"/>
      <c r="P46" s="2" t="inlineStr">
        <is>
          <t>Dự án TCNL 2012, MS dự án QH1.11.02</t>
        </is>
      </c>
      <c r="Q46" s="2" t="inlineStr">
        <is>
          <t>Không có người sử dụng</t>
        </is>
      </c>
      <c r="R46" s="2" t="n"/>
      <c r="S46" s="6" t="inlineStr">
        <is>
          <t>Có</t>
        </is>
      </c>
    </row>
    <row r="47">
      <c r="A47" s="2" t="n">
        <v>29</v>
      </c>
      <c r="B47" s="2" t="inlineStr">
        <is>
          <t>HMO-OBS-7081</t>
        </is>
      </c>
      <c r="C47" s="2" t="n">
        <v>7081</v>
      </c>
      <c r="D47" s="2" t="inlineStr">
        <is>
          <t>OBS</t>
        </is>
      </c>
      <c r="E47" s="2" t="inlineStr">
        <is>
          <t>Quan trắc &amp; đo đạc</t>
        </is>
      </c>
      <c r="F47" s="4" t="inlineStr">
        <is>
          <t>Máy đo độ đục và nồng độ chất rắn lơ lửng</t>
        </is>
      </c>
      <c r="G47" s="2" t="inlineStr">
        <is>
          <t>Model: LISST-Portable Particle Size Analyzer</t>
        </is>
      </c>
      <c r="H47" s="2" t="inlineStr">
        <is>
          <t>Mỹ</t>
        </is>
      </c>
      <c r="I47" s="2" t="n">
        <v>2013</v>
      </c>
      <c r="J47" s="2" t="n">
        <v>1</v>
      </c>
      <c r="K47" s="2" t="n">
        <v>680</v>
      </c>
      <c r="L47" s="2" t="inlineStr">
        <is>
          <t>P204-T3</t>
        </is>
      </c>
      <c r="M47" s="2" t="n"/>
      <c r="N47" s="6" t="inlineStr">
        <is>
          <t>Không hoạt động</t>
        </is>
      </c>
      <c r="O47" s="2" t="n"/>
      <c r="P47" s="2" t="inlineStr">
        <is>
          <t>Dự án TCNL 2012, MS dự án QH1.11.02</t>
        </is>
      </c>
      <c r="Q47" s="2" t="n"/>
      <c r="R47" s="2" t="n"/>
      <c r="S47" s="6" t="inlineStr">
        <is>
          <t>Có</t>
        </is>
      </c>
    </row>
    <row r="48">
      <c r="A48" s="2" t="n">
        <v>54</v>
      </c>
      <c r="B48" s="2" t="inlineStr">
        <is>
          <t>HMO-OBS-8372</t>
        </is>
      </c>
      <c r="C48" s="2" t="n">
        <v>8372</v>
      </c>
      <c r="D48" s="2" t="inlineStr">
        <is>
          <t>OBS</t>
        </is>
      </c>
      <c r="E48" s="2" t="inlineStr">
        <is>
          <t>Quan trắc &amp; đo đạc</t>
        </is>
      </c>
      <c r="F48" s="2" t="inlineStr">
        <is>
          <t>Thiết bị đo sóng dòng chảy</t>
        </is>
      </c>
      <c r="G48" s="2" t="inlineStr">
        <is>
          <t>Model: AWAC600; Hãng sản xuất: Nortek</t>
        </is>
      </c>
      <c r="H48" s="2" t="inlineStr">
        <is>
          <t>Nauy</t>
        </is>
      </c>
      <c r="I48" s="2" t="n">
        <v>2021</v>
      </c>
      <c r="J48" s="2" t="n">
        <v>1</v>
      </c>
      <c r="K48" s="2" t="n">
        <v>1215.85</v>
      </c>
      <c r="L48" s="2" t="inlineStr">
        <is>
          <t>P204-T3</t>
        </is>
      </c>
      <c r="M48" s="3" t="inlineStr">
        <is>
          <t>Nguyễn Kim Cương, Phan Nguyễn Hoàng Nam, Phạm Tiến Đạt</t>
        </is>
      </c>
      <c r="N48" s="5" t="inlineStr">
        <is>
          <t>Tốt</t>
        </is>
      </c>
      <c r="O48" s="2" t="n"/>
      <c r="P48" s="2" t="inlineStr">
        <is>
          <t>DA “Đầu tư nâng cấp các phòng thí nghiệm chuyên đề phục vụ đào tạo về khoa học cơ bản tại ĐHQGHN”</t>
        </is>
      </c>
      <c r="Q48" s="2" t="inlineStr">
        <is>
          <t>Nguyễn Đắc Đa, Phùng Quốc Trung đã chuyển công tác</t>
        </is>
      </c>
      <c r="R48" s="3" t="inlineStr">
        <is>
          <t>Có</t>
        </is>
      </c>
      <c r="S48" s="2" t="n"/>
    </row>
    <row r="49">
      <c r="A49" s="2" t="n">
        <v>60</v>
      </c>
      <c r="B49" s="2" t="inlineStr">
        <is>
          <t>HMO-OBS-8380</t>
        </is>
      </c>
      <c r="C49" s="2" t="n">
        <v>8380</v>
      </c>
      <c r="D49" s="2" t="inlineStr">
        <is>
          <t>OBS</t>
        </is>
      </c>
      <c r="E49" s="2" t="inlineStr">
        <is>
          <t>Quan trắc &amp; đo đạc</t>
        </is>
      </c>
      <c r="F49" s="2" t="inlineStr">
        <is>
          <t>Thiết bị đo mực nước</t>
        </is>
      </c>
      <c r="G49" s="2" t="inlineStr">
        <is>
          <t>Model: HM160.52; Hãng sản xuất: GUNT</t>
        </is>
      </c>
      <c r="H49" s="2" t="inlineStr">
        <is>
          <t>Đức</t>
        </is>
      </c>
      <c r="I49" s="2" t="n">
        <v>2021</v>
      </c>
      <c r="J49" s="2" t="n">
        <v>1</v>
      </c>
      <c r="K49" s="2" t="n">
        <v>64.09</v>
      </c>
      <c r="L49" s="2" t="inlineStr">
        <is>
          <t>P204-T3</t>
        </is>
      </c>
      <c r="M49" s="3" t="inlineStr">
        <is>
          <t>Nguyễn Kim Cương, Phan Nguyễn Hoàng Nam, Phạm Tiến Đạt</t>
        </is>
      </c>
      <c r="N49" s="5" t="inlineStr">
        <is>
          <t>Tốt</t>
        </is>
      </c>
      <c r="O49" s="2" t="n"/>
      <c r="P49" s="2" t="inlineStr">
        <is>
          <t>DA “Đầu tư nâng cấp các phòng thí nghiệm chuyên đề phục vụ đào tạo về khoa học cơ bản tại ĐHQGHN”</t>
        </is>
      </c>
      <c r="Q49" s="2" t="inlineStr">
        <is>
          <t>Nguyễn Đắc Đa, Phùng Quốc Trung đã chuyển công tác</t>
        </is>
      </c>
      <c r="R49" s="3" t="inlineStr">
        <is>
          <t>Có</t>
        </is>
      </c>
      <c r="S49" s="2" t="n"/>
    </row>
    <row r="50">
      <c r="A50" s="2" t="n">
        <v>61</v>
      </c>
      <c r="B50" s="2" t="inlineStr">
        <is>
          <t>HMO-OBS-8378</t>
        </is>
      </c>
      <c r="C50" s="2" t="n">
        <v>8378</v>
      </c>
      <c r="D50" s="2" t="inlineStr">
        <is>
          <t>OBS</t>
        </is>
      </c>
      <c r="E50" s="2" t="inlineStr">
        <is>
          <t>Quan trắc &amp; đo đạc</t>
        </is>
      </c>
      <c r="F50" s="2" t="inlineStr">
        <is>
          <t>Máy đo vận tốc nước</t>
        </is>
      </c>
      <c r="G50" s="2" t="inlineStr">
        <is>
          <t>Model: HM160.64; Hãng sản xuất: GUNT</t>
        </is>
      </c>
      <c r="H50" s="2" t="inlineStr">
        <is>
          <t>Đức</t>
        </is>
      </c>
      <c r="I50" s="2" t="n">
        <v>2021</v>
      </c>
      <c r="J50" s="2" t="n">
        <v>1</v>
      </c>
      <c r="K50" s="2" t="n">
        <v>329.06</v>
      </c>
      <c r="L50" s="2" t="inlineStr">
        <is>
          <t>P204-T3</t>
        </is>
      </c>
      <c r="M50" s="3" t="inlineStr">
        <is>
          <t>Nguyễn Kim Cương, Phan Nguyễn Hoàng Nam, Phạm Tiến Đạt</t>
        </is>
      </c>
      <c r="N50" s="5" t="inlineStr">
        <is>
          <t>Tốt</t>
        </is>
      </c>
      <c r="O50" s="2" t="n"/>
      <c r="P50" s="2" t="inlineStr">
        <is>
          <t>DA “Đầu tư nâng cấp các phòng thí nghiệm chuyên đề phục vụ đào tạo về khoa học cơ bản tại ĐHQGHN”</t>
        </is>
      </c>
      <c r="Q50" s="2" t="inlineStr">
        <is>
          <t>Nguyễn Đắc Đa, Phùng Quốc Trung đã chuyển công tác</t>
        </is>
      </c>
      <c r="R50" s="3" t="inlineStr">
        <is>
          <t>Có</t>
        </is>
      </c>
      <c r="S50" s="2" t="n"/>
    </row>
    <row r="51">
      <c r="A51" s="2" t="n">
        <v>63</v>
      </c>
      <c r="B51" s="2" t="inlineStr">
        <is>
          <t>HMO-OBS-8692</t>
        </is>
      </c>
      <c r="C51" s="2" t="n">
        <v>8692</v>
      </c>
      <c r="D51" s="2" t="inlineStr">
        <is>
          <t>OBS</t>
        </is>
      </c>
      <c r="E51" s="2" t="inlineStr">
        <is>
          <t>Quan trắc &amp; đo đạc</t>
        </is>
      </c>
      <c r="F51" s="2" t="inlineStr">
        <is>
          <t>Máy đo độ ẩm đất</t>
        </is>
      </c>
      <c r="G51" s="2" t="inlineStr">
        <is>
          <t>- Model: SMM1 - Hãng sản xuất: PCE - Xuất xứ: Đài Loan</t>
        </is>
      </c>
      <c r="H51" s="2" t="inlineStr">
        <is>
          <t>Đài Loan</t>
        </is>
      </c>
      <c r="I51" s="2" t="n">
        <v>2023</v>
      </c>
      <c r="J51" s="2" t="n">
        <v>4</v>
      </c>
      <c r="K51" s="2" t="n">
        <v>40</v>
      </c>
      <c r="L51" s="2" t="inlineStr">
        <is>
          <t>P401-T3</t>
        </is>
      </c>
      <c r="M51" s="2" t="inlineStr">
        <is>
          <t>Trịnh Minh Ngọc</t>
        </is>
      </c>
      <c r="N51" s="5" t="inlineStr">
        <is>
          <t>Tốt</t>
        </is>
      </c>
      <c r="O51" s="2" t="n"/>
      <c r="P51" s="2" t="inlineStr">
        <is>
          <t>DA Ngành mở mới (4Khoa), QĐ 5073/QĐ-ĐHKHTN ngày 12/29/2023</t>
        </is>
      </c>
      <c r="Q51" s="2" t="n"/>
      <c r="R51" s="2" t="n"/>
      <c r="S51" s="2" t="n"/>
    </row>
    <row r="52">
      <c r="A52" s="2" t="n">
        <v>64</v>
      </c>
      <c r="B52" s="2" t="inlineStr">
        <is>
          <t>HMO-OBS-8693</t>
        </is>
      </c>
      <c r="C52" s="2" t="n">
        <v>8693</v>
      </c>
      <c r="D52" s="2" t="inlineStr">
        <is>
          <t>OBS</t>
        </is>
      </c>
      <c r="E52" s="2" t="inlineStr">
        <is>
          <t>Quan trắc &amp; đo đạc</t>
        </is>
      </c>
      <c r="F52" s="2" t="inlineStr">
        <is>
          <t>Máy đo đa chỉ tiêu chất lượng nước</t>
        </is>
      </c>
      <c r="G52" s="2" t="inlineStr">
        <is>
          <t>- Model: U-52G - Hãng sản xuất: Horiba - Xuất xứ: Nhật Bản</t>
        </is>
      </c>
      <c r="H52" s="2" t="inlineStr">
        <is>
          <t>Nhật Bản</t>
        </is>
      </c>
      <c r="I52" s="2" t="n">
        <v>2023</v>
      </c>
      <c r="J52" s="2" t="n">
        <v>3</v>
      </c>
      <c r="K52" s="2" t="n">
        <v>420</v>
      </c>
      <c r="L52" s="2" t="inlineStr">
        <is>
          <t>P401-T3</t>
        </is>
      </c>
      <c r="M52" s="2" t="inlineStr">
        <is>
          <t>Trịnh Minh Ngọc</t>
        </is>
      </c>
      <c r="N52" s="5" t="inlineStr">
        <is>
          <t>Tốt</t>
        </is>
      </c>
      <c r="O52" s="2" t="n"/>
      <c r="P52" s="2" t="inlineStr">
        <is>
          <t>DA Ngành mở mới (4Khoa), QĐ 5073/QĐ-ĐHKHTN ngày 12/29/2023</t>
        </is>
      </c>
      <c r="Q52" s="2" t="n"/>
      <c r="R52" s="2" t="n"/>
      <c r="S52" s="2" t="n"/>
    </row>
    <row r="53">
      <c r="A53" s="2" t="n">
        <v>65</v>
      </c>
      <c r="B53" s="2" t="inlineStr">
        <is>
          <t>HMO-OBS-8694</t>
        </is>
      </c>
      <c r="C53" s="2" t="n">
        <v>8694</v>
      </c>
      <c r="D53" s="2" t="inlineStr">
        <is>
          <t>OBS</t>
        </is>
      </c>
      <c r="E53" s="2" t="inlineStr">
        <is>
          <t>Quan trắc &amp; đo đạc</t>
        </is>
      </c>
      <c r="F53" s="2" t="inlineStr">
        <is>
          <t>Thiết bị phân tích độ mặn</t>
        </is>
      </c>
      <c r="G53" s="2" t="inlineStr">
        <is>
          <t>(bao gồm: Máy phân tích độ mặn: 01 chiếc; Điện cực đo độ dẫn: 01 chiếc) - Hãng sản xuất: Horiba - Xuất xứ: Nhật Bản</t>
        </is>
      </c>
      <c r="H53" s="2" t="inlineStr">
        <is>
          <t>Nhật Bản</t>
        </is>
      </c>
      <c r="I53" s="2" t="n">
        <v>2023</v>
      </c>
      <c r="J53" s="2" t="n">
        <v>2</v>
      </c>
      <c r="K53" s="2" t="n">
        <v>52</v>
      </c>
      <c r="L53" s="2" t="inlineStr">
        <is>
          <t>P401-T3</t>
        </is>
      </c>
      <c r="M53" s="2" t="inlineStr">
        <is>
          <t>Trịnh Minh Ngọc</t>
        </is>
      </c>
      <c r="N53" s="5" t="inlineStr">
        <is>
          <t>Tốt</t>
        </is>
      </c>
      <c r="O53" s="2" t="n"/>
      <c r="P53" s="2" t="inlineStr">
        <is>
          <t>DA Ngành mở mới (4Khoa), QĐ 5073/QĐ-ĐHKHTN ngày 12/29/2023</t>
        </is>
      </c>
      <c r="Q53" s="2" t="n"/>
      <c r="R53" s="2" t="n"/>
      <c r="S53" s="2" t="n"/>
    </row>
    <row r="54">
      <c r="A54" s="2" t="n">
        <v>69</v>
      </c>
      <c r="B54" s="2" t="inlineStr">
        <is>
          <t>HMO-OBS-8688</t>
        </is>
      </c>
      <c r="C54" s="2" t="n">
        <v>8688</v>
      </c>
      <c r="D54" s="2" t="inlineStr">
        <is>
          <t>OBS</t>
        </is>
      </c>
      <c r="E54" s="2" t="inlineStr">
        <is>
          <t>Quan trắc &amp; đo đạc</t>
        </is>
      </c>
      <c r="F54" s="2" t="inlineStr">
        <is>
          <t>Thiết bị GPS cầm tay</t>
        </is>
      </c>
      <c r="G54" s="2" t="inlineStr">
        <is>
          <t>- Model: GPS MAP 64sc site survey - Hãng sản xuất: Garmin - Xuất xứ: Đài Loan</t>
        </is>
      </c>
      <c r="H54" s="2" t="inlineStr">
        <is>
          <t>Đài Loan</t>
        </is>
      </c>
      <c r="I54" s="2" t="n">
        <v>2023</v>
      </c>
      <c r="J54" s="2" t="n">
        <v>6</v>
      </c>
      <c r="K54" s="2" t="n">
        <v>90</v>
      </c>
      <c r="L54" s="2" t="inlineStr">
        <is>
          <t>P206-T3</t>
        </is>
      </c>
      <c r="M54" s="2" t="inlineStr">
        <is>
          <t>Nguyễn Quang Hưng</t>
        </is>
      </c>
      <c r="N54" s="5" t="inlineStr">
        <is>
          <t>Tốt</t>
        </is>
      </c>
      <c r="O54" s="2" t="n"/>
      <c r="P54" s="2" t="inlineStr">
        <is>
          <t>DA Ngành mở mới (4Khoa), QĐ 5073/QĐ-ĐHKHTN ngày 12/29/2023</t>
        </is>
      </c>
      <c r="Q54" s="2" t="n"/>
      <c r="R54" s="2" t="n"/>
      <c r="S54" s="2" t="n"/>
    </row>
    <row r="55">
      <c r="A55" s="2" t="n">
        <v>70</v>
      </c>
      <c r="B55" s="2" t="inlineStr">
        <is>
          <t>HMO-OBS-8689</t>
        </is>
      </c>
      <c r="C55" s="2" t="n">
        <v>8689</v>
      </c>
      <c r="D55" s="2" t="inlineStr">
        <is>
          <t>OBS</t>
        </is>
      </c>
      <c r="E55" s="2" t="inlineStr">
        <is>
          <t>Quan trắc &amp; đo đạc</t>
        </is>
      </c>
      <c r="F55" s="2" t="inlineStr">
        <is>
          <t>Thiết bị định vị vệ tinh</t>
        </is>
      </c>
      <c r="G55" s="2" t="inlineStr">
        <is>
          <t>- Model: S631 - Hãng sản xuất: Hemisphere - Xuất xứ: Trung Quốc</t>
        </is>
      </c>
      <c r="H55" s="2" t="inlineStr">
        <is>
          <t>Trung Quốc</t>
        </is>
      </c>
      <c r="I55" s="2" t="n">
        <v>2023</v>
      </c>
      <c r="J55" s="2" t="n">
        <v>2</v>
      </c>
      <c r="K55" s="2" t="n">
        <v>1920</v>
      </c>
      <c r="L55" s="2" t="inlineStr">
        <is>
          <t>P206-T3</t>
        </is>
      </c>
      <c r="M55" s="2" t="inlineStr">
        <is>
          <t>Nguyễn Quang Hưng</t>
        </is>
      </c>
      <c r="N55" s="5" t="inlineStr">
        <is>
          <t>Tốt</t>
        </is>
      </c>
      <c r="O55" s="2" t="n"/>
      <c r="P55" s="2" t="inlineStr">
        <is>
          <t>DA Ngành mở mới (4Khoa), QĐ 5073/QĐ-ĐHKHTN ngày 12/29/2023</t>
        </is>
      </c>
      <c r="Q55" s="2" t="n"/>
      <c r="R55" s="2" t="n"/>
      <c r="S55" s="2" t="n"/>
    </row>
    <row r="56">
      <c r="A56" s="2" t="n">
        <v>71</v>
      </c>
      <c r="B56" s="2" t="inlineStr">
        <is>
          <t>HMO-OBS-8690</t>
        </is>
      </c>
      <c r="C56" s="2" t="n">
        <v>8690</v>
      </c>
      <c r="D56" s="2" t="inlineStr">
        <is>
          <t>OBS</t>
        </is>
      </c>
      <c r="E56" s="2" t="inlineStr">
        <is>
          <t>Quan trắc &amp; đo đạc</t>
        </is>
      </c>
      <c r="F56" s="2" t="inlineStr">
        <is>
          <t>Tủ ấm và bộ đo BOD</t>
        </is>
      </c>
      <c r="G56" s="2" t="inlineStr">
        <is>
          <t>(bao gồm: Bộ xác định BOD: 01 chiếc; Tủ ấm lạnh: 01 chiếc) - Hãng sản xuất: VELP - Xuất xứ: Ý</t>
        </is>
      </c>
      <c r="H56" s="2" t="inlineStr">
        <is>
          <t>Ý</t>
        </is>
      </c>
      <c r="I56" s="2" t="n">
        <v>2023</v>
      </c>
      <c r="J56" s="2" t="n">
        <v>1</v>
      </c>
      <c r="K56" s="2" t="n">
        <v>109</v>
      </c>
      <c r="L56" s="2" t="inlineStr">
        <is>
          <t>P401-T3</t>
        </is>
      </c>
      <c r="M56" s="2" t="inlineStr">
        <is>
          <t>Trịnh Minh Ngọc</t>
        </is>
      </c>
      <c r="N56" s="5" t="inlineStr">
        <is>
          <t>Tốt</t>
        </is>
      </c>
      <c r="O56" s="2" t="n"/>
      <c r="P56" s="2" t="inlineStr">
        <is>
          <t>DA Ngành mở mới (4Khoa), QĐ 5073/QĐ-ĐHKHTN ngày 12/29/2023</t>
        </is>
      </c>
      <c r="Q56" s="2" t="n"/>
      <c r="R56" s="2" t="n"/>
      <c r="S56" s="2" t="n"/>
    </row>
    <row r="57">
      <c r="A57" s="2" t="n">
        <v>15</v>
      </c>
      <c r="B57" s="2" t="inlineStr">
        <is>
          <t>HMO-OTH-6532</t>
        </is>
      </c>
      <c r="C57" s="2" t="n">
        <v>6532</v>
      </c>
      <c r="D57" s="2" t="inlineStr">
        <is>
          <t>OTH</t>
        </is>
      </c>
      <c r="E57" s="2" t="inlineStr">
        <is>
          <t>Khác</t>
        </is>
      </c>
      <c r="F57" s="2" t="inlineStr">
        <is>
          <t>Bộ rung điện và dây dẫn</t>
        </is>
      </c>
      <c r="G57" s="2" t="inlineStr">
        <is>
          <t>Phụ kiện cho máy đo lưu lượng nước ID=6527</t>
        </is>
      </c>
      <c r="H57" s="2" t="inlineStr">
        <is>
          <t>Việt Nam</t>
        </is>
      </c>
      <c r="I57" s="2" t="n">
        <v>2012</v>
      </c>
      <c r="J57" s="2" t="n">
        <v>2</v>
      </c>
      <c r="K57" s="2" t="n">
        <v>3.3</v>
      </c>
      <c r="L57" s="2" t="inlineStr">
        <is>
          <t>P204-T3</t>
        </is>
      </c>
      <c r="M57" s="2" t="inlineStr">
        <is>
          <t xml:space="preserve">Phạm Tiến Đạt </t>
        </is>
      </c>
      <c r="N57" s="2" t="inlineStr">
        <is>
          <t>Bình thường</t>
        </is>
      </c>
      <c r="O57" s="2" t="n">
        <v>6527</v>
      </c>
      <c r="P57" s="2" t="inlineStr">
        <is>
          <t>Dự án TCNL 2012, MS QH1.11.02</t>
        </is>
      </c>
      <c r="Q57" s="2" t="n"/>
      <c r="R57" s="2" t="n"/>
      <c r="S57" s="2" t="n"/>
    </row>
    <row r="58">
      <c r="A58" s="2" t="n">
        <v>21</v>
      </c>
      <c r="B58" s="2" t="inlineStr">
        <is>
          <t>HMO-OTH-6530</t>
        </is>
      </c>
      <c r="C58" s="2" t="n">
        <v>6530</v>
      </c>
      <c r="D58" s="2" t="inlineStr">
        <is>
          <t>OTH</t>
        </is>
      </c>
      <c r="E58" s="2" t="inlineStr">
        <is>
          <t>Khác</t>
        </is>
      </c>
      <c r="F58" s="2" t="inlineStr">
        <is>
          <t>Giá lắp trên xuồng bằng vật liệu khử từ</t>
        </is>
      </c>
      <c r="G58" s="2" t="inlineStr">
        <is>
          <t>Phụ kiện cho máy đo lưu lượng nước ID=6527</t>
        </is>
      </c>
      <c r="H58" s="2" t="inlineStr">
        <is>
          <t>Việt Nam</t>
        </is>
      </c>
      <c r="I58" s="2" t="n">
        <v>2012</v>
      </c>
      <c r="J58" s="2" t="n">
        <v>2</v>
      </c>
      <c r="K58" s="2" t="n">
        <v>44</v>
      </c>
      <c r="L58" s="2" t="inlineStr">
        <is>
          <t>P204-T3</t>
        </is>
      </c>
      <c r="M58" s="2" t="inlineStr">
        <is>
          <t xml:space="preserve">Phạm Tiến Đạt </t>
        </is>
      </c>
      <c r="N58" s="2" t="inlineStr">
        <is>
          <t>Bình thường</t>
        </is>
      </c>
      <c r="O58" s="2" t="n">
        <v>6527</v>
      </c>
      <c r="P58" s="2" t="inlineStr">
        <is>
          <t>Dự án TCNL 2012, MS QH1.11.02</t>
        </is>
      </c>
      <c r="Q58" s="2" t="n"/>
      <c r="R58" s="2" t="n"/>
      <c r="S58" s="2" t="n"/>
    </row>
    <row r="59">
      <c r="A59" s="2" t="n">
        <v>26</v>
      </c>
      <c r="B59" s="2" t="inlineStr">
        <is>
          <t>HMO-PC-7753</t>
        </is>
      </c>
      <c r="C59" s="2" t="n">
        <v>7753</v>
      </c>
      <c r="D59" s="2" t="inlineStr">
        <is>
          <t>PC</t>
        </is>
      </c>
      <c r="E59" s="2" t="inlineStr">
        <is>
          <t>Máy tính cá nhân</t>
        </is>
      </c>
      <c r="F59" s="2" t="inlineStr">
        <is>
          <t>MacBook Pro 13 inch Retina Display</t>
        </is>
      </c>
      <c r="G59" s="2" t="inlineStr">
        <is>
          <t>2.5GHz dual-core Intel Core i5 processor/ 8GB of 1600MHz DDR3L /128 GB Flash Storage/13.3inch with Retina Display with IPS Technology</t>
        </is>
      </c>
      <c r="H59" s="2" t="inlineStr">
        <is>
          <t>China</t>
        </is>
      </c>
      <c r="I59" s="2" t="n">
        <v>2013</v>
      </c>
      <c r="J59" s="2" t="n">
        <v>1</v>
      </c>
      <c r="K59" s="2" t="n">
        <v>36.972</v>
      </c>
      <c r="L59" s="2" t="inlineStr">
        <is>
          <t>P207-T3</t>
        </is>
      </c>
      <c r="M59" s="2" t="n"/>
      <c r="N59" s="6" t="inlineStr">
        <is>
          <t>Không hoạt động</t>
        </is>
      </c>
      <c r="O59" s="2" t="n"/>
      <c r="P59" s="2" t="inlineStr">
        <is>
          <t>Dự án 11-P04-VIE; QĐ bàn giao cho Khoa số 773//QĐ-KHCN ngày 3/29/2017</t>
        </is>
      </c>
      <c r="Q59" s="2" t="n"/>
      <c r="R59" s="2" t="n"/>
      <c r="S59" s="2" t="n"/>
    </row>
    <row r="60">
      <c r="A60" s="2" t="n">
        <v>31</v>
      </c>
      <c r="B60" s="2" t="inlineStr">
        <is>
          <t>HMO-PC-7754</t>
        </is>
      </c>
      <c r="C60" s="2" t="n">
        <v>7754</v>
      </c>
      <c r="D60" s="2" t="inlineStr">
        <is>
          <t>PC</t>
        </is>
      </c>
      <c r="E60" s="2" t="inlineStr">
        <is>
          <t>Máy tính cá nhân</t>
        </is>
      </c>
      <c r="F60" s="2" t="inlineStr">
        <is>
          <t>Apple Laptop Macbook Air 11.6 inch</t>
        </is>
      </c>
      <c r="G60" s="2" t="inlineStr">
        <is>
          <t>Apple Laptop Macbook Air 11.6 inch</t>
        </is>
      </c>
      <c r="H60" s="2" t="inlineStr">
        <is>
          <t>China</t>
        </is>
      </c>
      <c r="I60" s="2" t="n">
        <v>2014</v>
      </c>
      <c r="J60" s="2" t="n">
        <v>2</v>
      </c>
      <c r="K60" s="2" t="n">
        <v>40.89091</v>
      </c>
      <c r="L60" s="2" t="inlineStr">
        <is>
          <t>P207-T3</t>
        </is>
      </c>
      <c r="M60" s="2" t="n"/>
      <c r="N60" s="6" t="inlineStr">
        <is>
          <t>Không hoạt động</t>
        </is>
      </c>
      <c r="O60" s="2" t="n"/>
      <c r="P60" s="2" t="inlineStr">
        <is>
          <t>Dự án 11-P04-VIE; QĐ bàn giao cho Khoa số 773//QĐ-KHCN ngày 3/29/2017</t>
        </is>
      </c>
      <c r="Q60" s="2" t="n"/>
      <c r="R60" s="2" t="n"/>
      <c r="S60" s="2" t="n"/>
    </row>
    <row r="61">
      <c r="A61" s="2" t="n">
        <v>32</v>
      </c>
      <c r="B61" s="2" t="inlineStr">
        <is>
          <t>HMO-PC-7755</t>
        </is>
      </c>
      <c r="C61" s="2" t="n">
        <v>7755</v>
      </c>
      <c r="D61" s="2" t="inlineStr">
        <is>
          <t>PC</t>
        </is>
      </c>
      <c r="E61" s="2" t="inlineStr">
        <is>
          <t>Máy tính cá nhân</t>
        </is>
      </c>
      <c r="F61" s="2" t="inlineStr">
        <is>
          <t>Apple PC iMac 21.5 inch</t>
        </is>
      </c>
      <c r="G61" s="2" t="inlineStr">
        <is>
          <t>2.7 GhX Core I5/ 2x4Gb Ram/!TB HDD</t>
        </is>
      </c>
      <c r="H61" s="2" t="inlineStr">
        <is>
          <t>China</t>
        </is>
      </c>
      <c r="I61" s="2" t="n">
        <v>2014</v>
      </c>
      <c r="J61" s="2" t="n">
        <v>1</v>
      </c>
      <c r="K61" s="2" t="n">
        <v>27.718182</v>
      </c>
      <c r="L61" s="2" t="inlineStr">
        <is>
          <t>P207-T3</t>
        </is>
      </c>
      <c r="M61" s="2" t="n"/>
      <c r="N61" s="6" t="inlineStr">
        <is>
          <t>Không hoạt động</t>
        </is>
      </c>
      <c r="O61" s="2" t="n"/>
      <c r="P61" s="2" t="inlineStr">
        <is>
          <t>Dự án 11-P04-VIE; QĐ bàn giao cho Khoa số 773//QĐ-KHCN ngày 3/29/2017</t>
        </is>
      </c>
      <c r="Q61" s="2" t="n"/>
      <c r="R61" s="2" t="n"/>
      <c r="S61" s="2" t="n"/>
    </row>
    <row r="62">
      <c r="A62" s="2" t="n">
        <v>1</v>
      </c>
      <c r="B62" s="2" t="inlineStr">
        <is>
          <t>HMO-SW-2767</t>
        </is>
      </c>
      <c r="C62" s="2" t="n">
        <v>2767</v>
      </c>
      <c r="D62" s="2" t="inlineStr">
        <is>
          <t>SW</t>
        </is>
      </c>
      <c r="E62" s="2" t="inlineStr">
        <is>
          <t>Phần mềm</t>
        </is>
      </c>
      <c r="F62" s="6" t="inlineStr">
        <is>
          <t>Phần mềm chuyên dụng NK Graphics</t>
        </is>
      </c>
      <c r="G62" s="2" t="n"/>
      <c r="H62" s="2" t="n"/>
      <c r="I62" s="2" t="n">
        <v>2002</v>
      </c>
      <c r="J62" s="2" t="n">
        <v>1</v>
      </c>
      <c r="K62" s="2" t="n">
        <v>33.63966</v>
      </c>
      <c r="L62" s="2" t="inlineStr">
        <is>
          <t>P206-T3</t>
        </is>
      </c>
      <c r="M62" s="2" t="n"/>
      <c r="N62" s="6" t="inlineStr">
        <is>
          <t>Không hoạt động</t>
        </is>
      </c>
      <c r="O62" s="2" t="n"/>
      <c r="P62" s="2" t="inlineStr">
        <is>
          <t>Đề tài KC 09.04 Trần Tân Tiến</t>
        </is>
      </c>
      <c r="Q62" s="2" t="inlineStr">
        <is>
          <t>Quá cũ không còn sử dụng; GS.TS Trần Tân Tiến đã nghỉ hưu</t>
        </is>
      </c>
      <c r="R62" s="2" t="inlineStr">
        <is>
          <t>Có</t>
        </is>
      </c>
      <c r="S62" s="6" t="inlineStr">
        <is>
          <t>Có</t>
        </is>
      </c>
    </row>
    <row r="63">
      <c r="A63" s="2" t="n">
        <v>2</v>
      </c>
      <c r="B63" s="2" t="inlineStr">
        <is>
          <t>HMO-SW-2775</t>
        </is>
      </c>
      <c r="C63" s="2" t="n">
        <v>2775</v>
      </c>
      <c r="D63" s="2" t="inlineStr">
        <is>
          <t>SW</t>
        </is>
      </c>
      <c r="E63" s="2" t="inlineStr">
        <is>
          <t>Phần mềm</t>
        </is>
      </c>
      <c r="F63" s="6" t="inlineStr">
        <is>
          <t>Phần mềm Ram</t>
        </is>
      </c>
      <c r="G63" s="2" t="n"/>
      <c r="H63" s="2" t="n"/>
      <c r="I63" s="2" t="n">
        <v>2002</v>
      </c>
      <c r="J63" s="2" t="n">
        <v>1</v>
      </c>
      <c r="K63" s="2" t="n">
        <v>150</v>
      </c>
      <c r="L63" s="2" t="inlineStr">
        <is>
          <t>P206-T3</t>
        </is>
      </c>
      <c r="M63" s="2" t="n"/>
      <c r="N63" s="6" t="inlineStr">
        <is>
          <t>Không hoạt động</t>
        </is>
      </c>
      <c r="O63" s="2" t="n"/>
      <c r="P63" s="2" t="inlineStr">
        <is>
          <t>Đề tài KC 09.04 Trần Tân Tiến</t>
        </is>
      </c>
      <c r="Q63" s="2" t="inlineStr">
        <is>
          <t>Quá cũ không còn sử dụng; GS.TS Trần Tân Tiến đã nghỉ hưu</t>
        </is>
      </c>
      <c r="R63" s="2" t="inlineStr">
        <is>
          <t>Có</t>
        </is>
      </c>
      <c r="S63" s="6" t="inlineStr">
        <is>
          <t>Có</t>
        </is>
      </c>
    </row>
    <row r="64">
      <c r="A64" s="2" t="n">
        <v>3</v>
      </c>
      <c r="B64" s="2" t="inlineStr">
        <is>
          <t>HMO-SW-2917</t>
        </is>
      </c>
      <c r="C64" s="2" t="n">
        <v>2917</v>
      </c>
      <c r="D64" s="2" t="inlineStr">
        <is>
          <t>SW</t>
        </is>
      </c>
      <c r="E64" s="2" t="inlineStr">
        <is>
          <t>Phần mềm</t>
        </is>
      </c>
      <c r="F64" s="6" t="inlineStr">
        <is>
          <t>Phần mềm số trị</t>
        </is>
      </c>
      <c r="G64" s="2" t="inlineStr">
        <is>
          <t>32 bit</t>
        </is>
      </c>
      <c r="H64" s="2" t="n"/>
      <c r="I64" s="2" t="n">
        <v>2003</v>
      </c>
      <c r="J64" s="2" t="n">
        <v>1</v>
      </c>
      <c r="K64" s="2" t="n">
        <v>96.79600000000001</v>
      </c>
      <c r="L64" s="2" t="inlineStr">
        <is>
          <t>P206-T3</t>
        </is>
      </c>
      <c r="M64" s="2" t="n"/>
      <c r="N64" s="6" t="inlineStr">
        <is>
          <t>Không hoạt động</t>
        </is>
      </c>
      <c r="O64" s="2" t="n"/>
      <c r="P64" s="2" t="n"/>
      <c r="Q64" s="2" t="inlineStr">
        <is>
          <t>Quá cũ không còn sử dụng</t>
        </is>
      </c>
      <c r="R64" s="2" t="n"/>
      <c r="S64" s="6" t="inlineStr">
        <is>
          <t>Có</t>
        </is>
      </c>
    </row>
    <row r="65">
      <c r="A65" s="2" t="n">
        <v>4</v>
      </c>
      <c r="B65" s="2" t="inlineStr">
        <is>
          <t>HMO-SW-4082</t>
        </is>
      </c>
      <c r="C65" s="2" t="n">
        <v>4082</v>
      </c>
      <c r="D65" s="2" t="inlineStr">
        <is>
          <t>SW</t>
        </is>
      </c>
      <c r="E65" s="2" t="inlineStr">
        <is>
          <t>Phần mềm</t>
        </is>
      </c>
      <c r="F65" s="6" t="inlineStr">
        <is>
          <t>Nâng cấp phần mềm chuyên dụng (1205)</t>
        </is>
      </c>
      <c r="G65" s="2" t="n"/>
      <c r="H65" s="2" t="n"/>
      <c r="I65" s="2" t="n">
        <v>2005</v>
      </c>
      <c r="J65" s="2" t="n">
        <v>1</v>
      </c>
      <c r="K65" s="2" t="n">
        <v>26.36</v>
      </c>
      <c r="L65" s="2" t="inlineStr">
        <is>
          <t>Đề tài KC 09.04 Trần Tân Tiến</t>
        </is>
      </c>
      <c r="M65" s="2" t="n"/>
      <c r="N65" s="6" t="inlineStr">
        <is>
          <t>Không hoạt động</t>
        </is>
      </c>
      <c r="O65" s="2" t="n"/>
      <c r="P65" s="2" t="inlineStr">
        <is>
          <t>Đề tài KC 09.04 Trần Tân Tiến</t>
        </is>
      </c>
      <c r="Q65" s="2" t="inlineStr">
        <is>
          <t>Quá cũ không còn sử dụng</t>
        </is>
      </c>
      <c r="R65" s="2" t="n"/>
      <c r="S65" s="6" t="inlineStr">
        <is>
          <t>Có</t>
        </is>
      </c>
    </row>
    <row r="66">
      <c r="A66" s="2" t="n">
        <v>5</v>
      </c>
      <c r="B66" s="2" t="inlineStr">
        <is>
          <t>HMO-SW-6052</t>
        </is>
      </c>
      <c r="C66" s="2" t="n">
        <v>6052</v>
      </c>
      <c r="D66" s="2" t="inlineStr">
        <is>
          <t>SW</t>
        </is>
      </c>
      <c r="E66" s="2" t="inlineStr">
        <is>
          <t>Phần mềm</t>
        </is>
      </c>
      <c r="F66" s="6" t="inlineStr">
        <is>
          <t>Phần mềm</t>
        </is>
      </c>
      <c r="G66" s="2" t="inlineStr">
        <is>
          <t>3-axis graphic</t>
        </is>
      </c>
      <c r="H66" s="2" t="n"/>
      <c r="I66" s="2" t="n">
        <v>2006</v>
      </c>
      <c r="J66" s="2" t="n">
        <v>1</v>
      </c>
      <c r="K66" s="2" t="n">
        <v>77.63200000000001</v>
      </c>
      <c r="L66" s="2" t="inlineStr">
        <is>
          <t>P204-T3</t>
        </is>
      </c>
      <c r="M66" s="2" t="n"/>
      <c r="N66" s="6" t="inlineStr">
        <is>
          <t>Không hoạt động</t>
        </is>
      </c>
      <c r="O66" s="2" t="n"/>
      <c r="P66" s="2" t="inlineStr">
        <is>
          <t>DA GDH Đại học 1, mức C</t>
        </is>
      </c>
      <c r="Q66" s="2" t="inlineStr">
        <is>
          <t>Quá cũ không còn sử dụng</t>
        </is>
      </c>
      <c r="R66" s="2" t="n"/>
      <c r="S66" s="6" t="inlineStr">
        <is>
          <t>Có</t>
        </is>
      </c>
    </row>
    <row r="67">
      <c r="A67" s="2" t="n">
        <v>6</v>
      </c>
      <c r="B67" s="2" t="inlineStr">
        <is>
          <t>HMO-SW-6053</t>
        </is>
      </c>
      <c r="C67" s="2" t="n">
        <v>6053</v>
      </c>
      <c r="D67" s="2" t="inlineStr">
        <is>
          <t>SW</t>
        </is>
      </c>
      <c r="E67" s="2" t="inlineStr">
        <is>
          <t>Phần mềm</t>
        </is>
      </c>
      <c r="F67" s="6" t="inlineStr">
        <is>
          <t>Phần mềm</t>
        </is>
      </c>
      <c r="G67" s="2" t="inlineStr">
        <is>
          <t>Temperature sensor</t>
        </is>
      </c>
      <c r="H67" s="2" t="n"/>
      <c r="I67" s="2" t="n">
        <v>2006</v>
      </c>
      <c r="J67" s="2" t="n">
        <v>2</v>
      </c>
      <c r="K67" s="2" t="n">
        <v>22.88</v>
      </c>
      <c r="L67" s="2" t="inlineStr">
        <is>
          <t>P204-T3</t>
        </is>
      </c>
      <c r="M67" s="2" t="n"/>
      <c r="N67" s="6" t="inlineStr">
        <is>
          <t>Không hoạt động</t>
        </is>
      </c>
      <c r="O67" s="2" t="n"/>
      <c r="P67" s="2" t="inlineStr">
        <is>
          <t>DA GDH Đại học 1, mức C</t>
        </is>
      </c>
      <c r="Q67" s="2" t="inlineStr">
        <is>
          <t>Quá cũ không còn sử dụng</t>
        </is>
      </c>
      <c r="R67" s="2" t="n"/>
      <c r="S67" s="6" t="inlineStr">
        <is>
          <t>Có</t>
        </is>
      </c>
    </row>
    <row r="68">
      <c r="A68" s="2" t="n">
        <v>7</v>
      </c>
      <c r="B68" s="2" t="inlineStr">
        <is>
          <t>HMO-SW-6055</t>
        </is>
      </c>
      <c r="C68" s="2" t="n">
        <v>6055</v>
      </c>
      <c r="D68" s="2" t="inlineStr">
        <is>
          <t>SW</t>
        </is>
      </c>
      <c r="E68" s="2" t="inlineStr">
        <is>
          <t>Phần mềm</t>
        </is>
      </c>
      <c r="F68" s="6" t="inlineStr">
        <is>
          <t>Phần mềm</t>
        </is>
      </c>
      <c r="G68" s="2" t="inlineStr">
        <is>
          <t>Spare part reed contact</t>
        </is>
      </c>
      <c r="H68" s="2" t="n"/>
      <c r="I68" s="2" t="n">
        <v>2006</v>
      </c>
      <c r="J68" s="2" t="n">
        <v>1</v>
      </c>
      <c r="K68" s="2" t="n">
        <v>2.32</v>
      </c>
      <c r="L68" s="2" t="inlineStr">
        <is>
          <t>P204-T3</t>
        </is>
      </c>
      <c r="M68" s="2" t="n"/>
      <c r="N68" s="6" t="inlineStr">
        <is>
          <t>Không hoạt động</t>
        </is>
      </c>
      <c r="O68" s="2" t="n"/>
      <c r="P68" s="2" t="inlineStr">
        <is>
          <t>DA GDH Đại học 1, mức C</t>
        </is>
      </c>
      <c r="Q68" s="2" t="inlineStr">
        <is>
          <t>Quá cũ không còn sử dụng</t>
        </is>
      </c>
      <c r="R68" s="2" t="n"/>
      <c r="S68" s="6" t="inlineStr">
        <is>
          <t>Có</t>
        </is>
      </c>
    </row>
    <row r="69">
      <c r="A69" s="2" t="n">
        <v>8</v>
      </c>
      <c r="B69" s="2" t="inlineStr">
        <is>
          <t>HMO-SW-6054</t>
        </is>
      </c>
      <c r="C69" s="2" t="n">
        <v>6054</v>
      </c>
      <c r="D69" s="2" t="inlineStr">
        <is>
          <t>SW</t>
        </is>
      </c>
      <c r="E69" s="2" t="inlineStr">
        <is>
          <t>Phần mềm</t>
        </is>
      </c>
      <c r="F69" s="6" t="inlineStr">
        <is>
          <t>Phần mềm</t>
        </is>
      </c>
      <c r="G69" s="2" t="inlineStr">
        <is>
          <t>Water current … sensor</t>
        </is>
      </c>
      <c r="H69" s="2" t="n"/>
      <c r="I69" s="2" t="n">
        <v>2006</v>
      </c>
      <c r="J69" s="2" t="n">
        <v>2</v>
      </c>
      <c r="K69" s="2" t="n">
        <v>36</v>
      </c>
      <c r="L69" s="2" t="inlineStr">
        <is>
          <t>P204-T3</t>
        </is>
      </c>
      <c r="M69" s="2" t="n"/>
      <c r="N69" s="6" t="inlineStr">
        <is>
          <t>Không hoạt động</t>
        </is>
      </c>
      <c r="O69" s="2" t="n"/>
      <c r="P69" s="2" t="inlineStr">
        <is>
          <t>DA GDH Đại học 1, mức C</t>
        </is>
      </c>
      <c r="Q69" s="2" t="inlineStr">
        <is>
          <t>Quá cũ không còn sử dụng</t>
        </is>
      </c>
      <c r="R69" s="2" t="n"/>
      <c r="S69" s="6" t="inlineStr">
        <is>
          <t>Có</t>
        </is>
      </c>
    </row>
    <row r="70">
      <c r="A70" s="2" t="n">
        <v>9</v>
      </c>
      <c r="B70" s="2" t="inlineStr">
        <is>
          <t>HMO-SW-6056</t>
        </is>
      </c>
      <c r="C70" s="2" t="n">
        <v>6056</v>
      </c>
      <c r="D70" s="2" t="inlineStr">
        <is>
          <t>SW</t>
        </is>
      </c>
      <c r="E70" s="2" t="inlineStr">
        <is>
          <t>Phần mềm</t>
        </is>
      </c>
      <c r="F70" s="6" t="inlineStr">
        <is>
          <t>Phần mềm</t>
        </is>
      </c>
      <c r="G70" s="2" t="inlineStr">
        <is>
          <t>Spare part Acrlic</t>
        </is>
      </c>
      <c r="H70" s="2" t="n"/>
      <c r="I70" s="2" t="n">
        <v>2006</v>
      </c>
      <c r="J70" s="2" t="n">
        <v>2</v>
      </c>
      <c r="K70" s="2" t="n">
        <v>3.68</v>
      </c>
      <c r="L70" s="2" t="inlineStr">
        <is>
          <t>P204-T3</t>
        </is>
      </c>
      <c r="M70" s="2" t="n"/>
      <c r="N70" s="6" t="inlineStr">
        <is>
          <t>Không hoạt động</t>
        </is>
      </c>
      <c r="O70" s="2" t="n"/>
      <c r="P70" s="2" t="inlineStr">
        <is>
          <t>DA GDH Đại học 1, mức C</t>
        </is>
      </c>
      <c r="Q70" s="2" t="inlineStr">
        <is>
          <t>Quá cũ không còn sử dụng</t>
        </is>
      </c>
      <c r="R70" s="2" t="n"/>
      <c r="S70" s="6" t="inlineStr">
        <is>
          <t>Có</t>
        </is>
      </c>
    </row>
    <row r="71">
      <c r="A71" s="2" t="n">
        <v>10</v>
      </c>
      <c r="B71" s="2" t="inlineStr">
        <is>
          <t>HMO-SW-4781</t>
        </is>
      </c>
      <c r="C71" s="2" t="n">
        <v>4781</v>
      </c>
      <c r="D71" s="2" t="inlineStr">
        <is>
          <t>SW</t>
        </is>
      </c>
      <c r="E71" s="2" t="inlineStr">
        <is>
          <t>Phần mềm</t>
        </is>
      </c>
      <c r="F71" s="6" t="inlineStr">
        <is>
          <t>Phần mềm hỗ trợ hệ thống đa xử lý</t>
        </is>
      </c>
      <c r="G71" s="2" t="inlineStr">
        <is>
          <t>Redhad, Singapore</t>
        </is>
      </c>
      <c r="H71" s="2" t="n"/>
      <c r="I71" s="2" t="n">
        <v>2007</v>
      </c>
      <c r="J71" s="2" t="n">
        <v>1</v>
      </c>
      <c r="K71" s="2" t="n">
        <v>5.311</v>
      </c>
      <c r="L71" s="2" t="inlineStr">
        <is>
          <t>P206-T3</t>
        </is>
      </c>
      <c r="M71" s="2" t="n"/>
      <c r="N71" s="6" t="inlineStr">
        <is>
          <t>Không hoạt động</t>
        </is>
      </c>
      <c r="O71" s="2" t="n"/>
      <c r="P71" s="2" t="n"/>
      <c r="Q71" s="2" t="inlineStr">
        <is>
          <t>Hệ thống máy chủ đã cài nâng cấp thay thế bản RedHat cũ</t>
        </is>
      </c>
      <c r="R71" s="2" t="n"/>
      <c r="S71" s="6" t="inlineStr">
        <is>
          <t>Có</t>
        </is>
      </c>
    </row>
    <row r="72">
      <c r="A72" s="2" t="n">
        <v>11</v>
      </c>
      <c r="B72" s="2" t="inlineStr">
        <is>
          <t>HMO-SW-5622</t>
        </is>
      </c>
      <c r="C72" s="2" t="n">
        <v>5622</v>
      </c>
      <c r="D72" s="2" t="inlineStr">
        <is>
          <t>SW</t>
        </is>
      </c>
      <c r="E72" s="2" t="inlineStr">
        <is>
          <t>Phần mềm</t>
        </is>
      </c>
      <c r="F72" s="6" t="inlineStr">
        <is>
          <t>Test and communication software for Sedimeter, DOS</t>
        </is>
      </c>
      <c r="G72" s="2" t="inlineStr">
        <is>
          <t>Model: Sedimeter, Manufacturer: Erlingsson-Nautik, Norway</t>
        </is>
      </c>
      <c r="H72" s="2" t="n"/>
      <c r="I72" s="2" t="n">
        <v>2007</v>
      </c>
      <c r="J72" s="2" t="n">
        <v>1</v>
      </c>
      <c r="K72" s="2" t="n">
        <v>23.857401</v>
      </c>
      <c r="L72" s="2" t="inlineStr">
        <is>
          <t>P204-T3</t>
        </is>
      </c>
      <c r="M72" s="2" t="n"/>
      <c r="N72" s="6" t="inlineStr">
        <is>
          <t>Không hoạt động</t>
        </is>
      </c>
      <c r="O72" s="2" t="n"/>
      <c r="P72" s="2" t="inlineStr">
        <is>
          <t>QD 2449, DA GDH Đại học 1, mức C1, hợp đồng C1.III.2/VNU-IFB C1.III</t>
        </is>
      </c>
      <c r="Q72" s="2" t="inlineStr">
        <is>
          <t>Quá cũ không còn sử dụng; GS.TS Đinh Văn Ưu đã mất</t>
        </is>
      </c>
      <c r="R72" s="2" t="inlineStr">
        <is>
          <t>Có</t>
        </is>
      </c>
      <c r="S72" s="6" t="inlineStr">
        <is>
          <t>Có</t>
        </is>
      </c>
    </row>
    <row r="73">
      <c r="A73" s="2" t="n">
        <v>12</v>
      </c>
      <c r="B73" s="2" t="inlineStr">
        <is>
          <t>HMO-SW-5625</t>
        </is>
      </c>
      <c r="C73" s="2" t="n">
        <v>5625</v>
      </c>
      <c r="D73" s="2" t="inlineStr">
        <is>
          <t>SW</t>
        </is>
      </c>
      <c r="E73" s="2" t="inlineStr">
        <is>
          <t>Phần mềm</t>
        </is>
      </c>
      <c r="F73" s="6" t="inlineStr">
        <is>
          <t>Hydrographic Survey Software: HYPACK Max Software</t>
        </is>
      </c>
      <c r="G73" s="2" t="inlineStr">
        <is>
          <t>Manufacturer: Hypack - USA</t>
        </is>
      </c>
      <c r="H73" s="2" t="n"/>
      <c r="I73" s="2" t="n">
        <v>2007</v>
      </c>
      <c r="J73" s="2" t="n">
        <v>1</v>
      </c>
      <c r="K73" s="2" t="n">
        <v>133.159643</v>
      </c>
      <c r="L73" s="2" t="inlineStr">
        <is>
          <t>P204-T3</t>
        </is>
      </c>
      <c r="M73" s="2" t="n"/>
      <c r="N73" s="6" t="inlineStr">
        <is>
          <t>Không hoạt động</t>
        </is>
      </c>
      <c r="O73" s="2" t="n"/>
      <c r="P73" s="2" t="inlineStr">
        <is>
          <t>QD 2449, DA GDH Đại học 1, mức C1, hợp đồng C1.III.2/VNU-IFB C1.III</t>
        </is>
      </c>
      <c r="Q73" s="2" t="inlineStr">
        <is>
          <t>Quá cũ không còn sử dụng; GS.TS Đinh Văn Ưu đã mất</t>
        </is>
      </c>
      <c r="R73" s="2" t="inlineStr">
        <is>
          <t>Có</t>
        </is>
      </c>
      <c r="S73" s="6" t="inlineStr">
        <is>
          <t>Có</t>
        </is>
      </c>
    </row>
    <row r="74">
      <c r="A74" s="2" t="n">
        <v>73</v>
      </c>
      <c r="B74" s="2" t="inlineStr">
        <is>
          <t>HMO-SW-8698</t>
        </is>
      </c>
      <c r="C74" s="2" t="n">
        <v>8698</v>
      </c>
      <c r="D74" s="2" t="inlineStr">
        <is>
          <t>SW</t>
        </is>
      </c>
      <c r="E74" s="2" t="inlineStr">
        <is>
          <t>Phần mềm</t>
        </is>
      </c>
      <c r="F74" s="2" t="inlineStr">
        <is>
          <t>Phần mềm mô phỏng thủy động lực học</t>
        </is>
      </c>
      <c r="G74" s="2" t="inlineStr">
        <is>
          <t>- Model: Delft3D Hydro-Morphodynamics Basic Service Package - Hãng sản xuất: Delft3D</t>
        </is>
      </c>
      <c r="H74" s="2" t="n"/>
      <c r="I74" s="2" t="n">
        <v>2023</v>
      </c>
      <c r="J74" s="2" t="n">
        <v>1</v>
      </c>
      <c r="K74" s="2" t="n">
        <v>350</v>
      </c>
      <c r="L74" s="2" t="inlineStr">
        <is>
          <t>P206-T3</t>
        </is>
      </c>
      <c r="M74" s="2" t="inlineStr">
        <is>
          <t>Nguyễn Quang Hưng</t>
        </is>
      </c>
      <c r="N74" s="5" t="inlineStr">
        <is>
          <t>Tốt</t>
        </is>
      </c>
      <c r="O74" s="2" t="n"/>
      <c r="P74" s="2" t="inlineStr">
        <is>
          <t>DA Ngành mở mới (4Khoa), QĐ 5073/QĐ-ĐHKHTN ngày 12/29/2023</t>
        </is>
      </c>
      <c r="Q74" s="2" t="n"/>
      <c r="R74" s="2" t="n"/>
      <c r="S74" s="2" t="n"/>
    </row>
    <row r="75">
      <c r="A75" s="2" t="n">
        <v>74</v>
      </c>
      <c r="B75" s="2" t="inlineStr">
        <is>
          <t>HMO-SW-8699</t>
        </is>
      </c>
      <c r="C75" s="2" t="n">
        <v>8699</v>
      </c>
      <c r="D75" s="2" t="inlineStr">
        <is>
          <t>SW</t>
        </is>
      </c>
      <c r="E75" s="2" t="inlineStr">
        <is>
          <t>Phần mềm</t>
        </is>
      </c>
      <c r="F75" s="2" t="inlineStr">
        <is>
          <t>Phần mềm biên dịch Intel cho hệ thống mã nguồn mở</t>
        </is>
      </c>
      <c r="G75" s="2" t="inlineStr">
        <is>
          <t>- Model: Intel oneAPI Base &amp; HPC Toolkit - Hãng sản xuất: Intel</t>
        </is>
      </c>
      <c r="H75" s="2" t="n"/>
      <c r="I75" s="2" t="n">
        <v>2023</v>
      </c>
      <c r="J75" s="2" t="n">
        <v>1</v>
      </c>
      <c r="K75" s="2" t="n">
        <v>185</v>
      </c>
      <c r="L75" s="2" t="inlineStr">
        <is>
          <t>P206-T3</t>
        </is>
      </c>
      <c r="M75" s="2" t="inlineStr">
        <is>
          <t>Nguyễn Quang Hưng</t>
        </is>
      </c>
      <c r="N75" s="5" t="inlineStr">
        <is>
          <t>Tốt</t>
        </is>
      </c>
      <c r="O75" s="2" t="n"/>
      <c r="P75" s="2" t="inlineStr">
        <is>
          <t>DA Ngành mở mới (4Khoa), QĐ 5073/QĐ-ĐHKHTN ngày 12/29/2023</t>
        </is>
      </c>
      <c r="Q75" s="2" t="n"/>
      <c r="R75" s="2" t="n"/>
      <c r="S75" s="2" t="n"/>
    </row>
  </sheetData>
  <autoFilter ref="A1:S7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4.25"/>
  <cols>
    <col width="40" customWidth="1" style="15" min="1" max="1"/>
    <col width="15" customWidth="1" style="15" min="2" max="3"/>
    <col width="18" customWidth="1" style="15" min="4" max="4"/>
  </cols>
  <sheetData>
    <row r="1" ht="17.65" customHeight="1" s="15">
      <c r="A1" s="16" t="inlineStr">
        <is>
          <t>THỐNG KÊ TRANG THIẾT BỊ - KHOA KTTV&amp;HDH</t>
        </is>
      </c>
    </row>
    <row r="3">
      <c r="A3" s="7" t="inlineStr">
        <is>
          <t>Cập nhật: 01/2025 (dựa trên kết quả rà soát)</t>
        </is>
      </c>
    </row>
    <row r="5">
      <c r="A5" s="14" t="inlineStr">
        <is>
          <t>TÌNH TRẠNG THỰC TẾ</t>
        </is>
      </c>
    </row>
    <row r="6">
      <c r="A6" s="8" t="inlineStr">
        <is>
          <t>Tình trạng</t>
        </is>
      </c>
      <c r="B6" s="8" t="inlineStr">
        <is>
          <t>Số lượng</t>
        </is>
      </c>
      <c r="C6" s="8" t="inlineStr">
        <is>
          <t>Giá trị (tr.đ)</t>
        </is>
      </c>
    </row>
    <row r="7">
      <c r="A7" s="9" t="inlineStr">
        <is>
          <t>Bình thường</t>
        </is>
      </c>
      <c r="B7" s="9" t="n">
        <v>45</v>
      </c>
      <c r="C7" s="9" t="n">
        <v>11210.6</v>
      </c>
    </row>
    <row r="8">
      <c r="A8" s="9" t="inlineStr">
        <is>
          <t>Hỏng</t>
        </is>
      </c>
      <c r="B8" s="9" t="n">
        <v>4</v>
      </c>
      <c r="C8" s="9" t="n">
        <v>1511.4</v>
      </c>
    </row>
    <row r="9">
      <c r="A9" s="9" t="inlineStr">
        <is>
          <t>Không hoạt động</t>
        </is>
      </c>
      <c r="B9" s="9" t="n">
        <v>12</v>
      </c>
      <c r="C9" s="9" t="n">
        <v>611.6</v>
      </c>
    </row>
    <row r="10">
      <c r="A10" s="9" t="inlineStr">
        <is>
          <t>Không rõ, Khoa không được bàn giao từ TT ĐLHTKMT</t>
        </is>
      </c>
      <c r="B10" s="9" t="n">
        <v>1</v>
      </c>
      <c r="C10" s="9" t="n">
        <v>769.1</v>
      </c>
    </row>
    <row r="11">
      <c r="A11" s="9" t="inlineStr">
        <is>
          <t>Tốt</t>
        </is>
      </c>
      <c r="B11" s="9" t="n">
        <v>12</v>
      </c>
      <c r="C11" s="9" t="n">
        <v>6447</v>
      </c>
    </row>
    <row r="13">
      <c r="A13" s="14" t="inlineStr">
        <is>
          <t>PHÂN LOẠI THEO NHÓM</t>
        </is>
      </c>
    </row>
    <row r="14">
      <c r="A14" s="8" t="inlineStr">
        <is>
          <t>Nhóm</t>
        </is>
      </c>
      <c r="B14" s="8" t="inlineStr">
        <is>
          <t>Mã</t>
        </is>
      </c>
      <c r="C14" s="8" t="inlineStr">
        <is>
          <t>Số lượng</t>
        </is>
      </c>
      <c r="D14" s="8" t="inlineStr">
        <is>
          <t>Giá trị (tr.đ)</t>
        </is>
      </c>
    </row>
    <row r="15">
      <c r="A15" s="9" t="inlineStr">
        <is>
          <t>Quan trắc &amp; đo đạc</t>
        </is>
      </c>
      <c r="B15" s="9" t="inlineStr">
        <is>
          <t>OBS</t>
        </is>
      </c>
      <c r="C15" s="9" t="n">
        <v>15</v>
      </c>
      <c r="D15" s="9" t="n">
        <v>7729.7</v>
      </c>
    </row>
    <row r="16">
      <c r="A16" s="9" t="inlineStr">
        <is>
          <t>Thí nghiệm phòng</t>
        </is>
      </c>
      <c r="B16" s="9" t="inlineStr">
        <is>
          <t>LAB</t>
        </is>
      </c>
      <c r="C16" s="9" t="n">
        <v>10</v>
      </c>
      <c r="D16" s="9" t="n">
        <v>6684.6</v>
      </c>
    </row>
    <row r="17">
      <c r="A17" s="9" t="inlineStr">
        <is>
          <t>Hệ thống tính toán</t>
        </is>
      </c>
      <c r="B17" s="9" t="inlineStr">
        <is>
          <t>HPC</t>
        </is>
      </c>
      <c r="C17" s="9" t="n">
        <v>17</v>
      </c>
      <c r="D17" s="9" t="n">
        <v>3956</v>
      </c>
    </row>
    <row r="18">
      <c r="A18" s="9" t="inlineStr">
        <is>
          <t>Phần mềm</t>
        </is>
      </c>
      <c r="B18" s="9" t="inlineStr">
        <is>
          <t>SW</t>
        </is>
      </c>
      <c r="C18" s="9" t="n">
        <v>14</v>
      </c>
      <c r="D18" s="9" t="n">
        <v>1146.6</v>
      </c>
    </row>
    <row r="19">
      <c r="A19" s="9" t="inlineStr">
        <is>
          <t>Thiết bị mạng</t>
        </is>
      </c>
      <c r="B19" s="9" t="inlineStr">
        <is>
          <t>NET</t>
        </is>
      </c>
      <c r="C19" s="9" t="n">
        <v>9</v>
      </c>
      <c r="D19" s="9" t="n">
        <v>713.8</v>
      </c>
    </row>
    <row r="20">
      <c r="A20" s="9" t="inlineStr">
        <is>
          <t>Hạ tầng phụ trợ</t>
        </is>
      </c>
      <c r="B20" s="9" t="inlineStr">
        <is>
          <t>INF</t>
        </is>
      </c>
      <c r="C20" s="9" t="n">
        <v>4</v>
      </c>
      <c r="D20" s="9" t="n">
        <v>166.2</v>
      </c>
    </row>
    <row r="21">
      <c r="A21" s="9" t="inlineStr">
        <is>
          <t>Máy tính cá nhân</t>
        </is>
      </c>
      <c r="B21" s="9" t="inlineStr">
        <is>
          <t>PC</t>
        </is>
      </c>
      <c r="C21" s="9" t="n">
        <v>3</v>
      </c>
      <c r="D21" s="9" t="n">
        <v>105.6</v>
      </c>
    </row>
    <row r="22">
      <c r="A22" s="9" t="inlineStr">
        <is>
          <t>Khác</t>
        </is>
      </c>
      <c r="B22" s="9" t="inlineStr">
        <is>
          <t>OTH</t>
        </is>
      </c>
      <c r="C22" s="9" t="n">
        <v>2</v>
      </c>
      <c r="D22" s="9" t="n">
        <v>47.3</v>
      </c>
    </row>
    <row r="24">
      <c r="A24" s="14" t="inlineStr">
        <is>
          <t>HÀNH ĐỘNG CẦN THỰC HIỆN</t>
        </is>
      </c>
    </row>
    <row r="25">
      <c r="A25" s="9" t="inlineStr">
        <is>
          <t>Cần gán lại cán bộ quản lý</t>
        </is>
      </c>
      <c r="B25" s="10" t="n">
        <v>18</v>
      </c>
    </row>
    <row r="26">
      <c r="A26" s="9" t="inlineStr">
        <is>
          <t>Đề xuất thanh lý (không hoạt động)</t>
        </is>
      </c>
      <c r="B26" s="10" t="n">
        <v>12</v>
      </c>
    </row>
    <row r="27">
      <c r="A27" s="9" t="inlineStr">
        <is>
          <t>Thiết bị hỏng cần xử lý</t>
        </is>
      </c>
      <c r="B27" s="10" t="n">
        <v>4</v>
      </c>
    </row>
    <row r="28">
      <c r="A28" s="9" t="inlineStr">
        <is>
          <t>Thiết bị không rõ tình trạng</t>
        </is>
      </c>
      <c r="B28" s="10" t="n">
        <v>1</v>
      </c>
    </row>
  </sheetData>
  <mergeCells count="4">
    <mergeCell ref="A5:C5"/>
    <mergeCell ref="A1:E1"/>
    <mergeCell ref="A13:D13"/>
    <mergeCell ref="A24:D2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25"/>
  <cols>
    <col width="18" customWidth="1" style="15" min="1" max="1"/>
    <col width="35" customWidth="1" style="15" min="2" max="2"/>
    <col width="20" customWidth="1" style="15" min="3" max="4"/>
    <col width="25" customWidth="1" style="15" min="5" max="5"/>
    <col width="20" customWidth="1" style="15" min="6" max="6"/>
    <col width="14" customWidth="1" style="15" min="7" max="9"/>
    <col width="18" customWidth="1" style="15" min="10" max="11"/>
    <col width="25" customWidth="1" style="15" min="12" max="12"/>
    <col width="18" customWidth="1" style="15" min="13" max="13"/>
    <col width="25" customWidth="1" style="15" min="14" max="14"/>
    <col width="10" customWidth="1" style="15" min="15" max="15"/>
  </cols>
  <sheetData>
    <row r="1" ht="27.75" customHeight="1" s="15">
      <c r="A1" s="11" t="inlineStr">
        <is>
          <t>Mã QR</t>
        </is>
      </c>
      <c r="B1" s="11" t="inlineStr">
        <is>
          <t>Tên thiết bị</t>
        </is>
      </c>
      <c r="C1" s="11" t="inlineStr">
        <is>
          <t>Người mượn</t>
        </is>
      </c>
      <c r="D1" s="11" t="inlineStr">
        <is>
          <t>Đơn vị/Nhóm NC</t>
        </is>
      </c>
      <c r="E1" s="11" t="inlineStr">
        <is>
          <t>Mục đích sử dụng</t>
        </is>
      </c>
      <c r="F1" s="11" t="inlineStr">
        <is>
          <t>Địa điểm triển khai</t>
        </is>
      </c>
      <c r="G1" s="11" t="inlineStr">
        <is>
          <t>Ngày mượn</t>
        </is>
      </c>
      <c r="H1" s="11" t="inlineStr">
        <is>
          <t>Ngày dự kiến trả</t>
        </is>
      </c>
      <c r="I1" s="11" t="inlineStr">
        <is>
          <t>Ngày trả thực tế</t>
        </is>
      </c>
      <c r="J1" s="11" t="inlineStr">
        <is>
          <t>Tình trạng khi mượn</t>
        </is>
      </c>
      <c r="K1" s="11" t="inlineStr">
        <is>
          <t>Tình trạng khi trả</t>
        </is>
      </c>
      <c r="L1" s="11" t="inlineStr">
        <is>
          <t>Phụ kiện kèm theo</t>
        </is>
      </c>
      <c r="M1" s="11" t="inlineStr">
        <is>
          <t>Người phê duyệt</t>
        </is>
      </c>
      <c r="N1" s="11" t="inlineStr">
        <is>
          <t>Ghi chú</t>
        </is>
      </c>
      <c r="O1" s="11" t="inlineStr">
        <is>
          <t>Quá hạn</t>
        </is>
      </c>
    </row>
    <row r="2">
      <c r="O2" s="17">
        <f>IF(AND(H2&lt;&gt;"", I2="", TODAY()&gt;H2), "✓", "")</f>
        <v/>
      </c>
    </row>
    <row r="3">
      <c r="O3" s="17">
        <f>IF(AND(H3&lt;&gt;"", I3="", TODAY()&gt;H3), "✓", "")</f>
        <v/>
      </c>
    </row>
    <row r="4">
      <c r="O4" s="17">
        <f>IF(AND(H4&lt;&gt;"", I4="", TODAY()&gt;H4), "✓", "")</f>
        <v/>
      </c>
    </row>
    <row r="5">
      <c r="O5" s="17">
        <f>IF(AND(H5&lt;&gt;"", I5="", TODAY()&gt;H5), "✓", "")</f>
        <v/>
      </c>
    </row>
    <row r="6">
      <c r="O6" s="17">
        <f>IF(AND(H6&lt;&gt;"", I6="", TODAY()&gt;H6), "✓", "")</f>
        <v/>
      </c>
    </row>
    <row r="7">
      <c r="O7" s="17">
        <f>IF(AND(H7&lt;&gt;"", I7="", TODAY()&gt;H7), "✓", "")</f>
        <v/>
      </c>
    </row>
    <row r="8">
      <c r="O8" s="17">
        <f>IF(AND(H8&lt;&gt;"", I8="", TODAY()&gt;H8), "✓", "")</f>
        <v/>
      </c>
    </row>
    <row r="9">
      <c r="O9" s="17">
        <f>IF(AND(H9&lt;&gt;"", I9="", TODAY()&gt;H9), "✓", "")</f>
        <v/>
      </c>
    </row>
    <row r="10">
      <c r="O10" s="17">
        <f>IF(AND(H10&lt;&gt;"", I10="", TODAY()&gt;H10), "✓", "")</f>
        <v/>
      </c>
    </row>
    <row r="11">
      <c r="O11" s="17">
        <f>IF(AND(H11&lt;&gt;"", I11="", TODAY()&gt;H11), "✓", "")</f>
        <v/>
      </c>
    </row>
    <row r="12">
      <c r="O12" s="17">
        <f>IF(AND(H12&lt;&gt;"", I12="", TODAY()&gt;H12), "✓", "")</f>
        <v/>
      </c>
    </row>
    <row r="13">
      <c r="O13" s="17">
        <f>IF(AND(H13&lt;&gt;"", I13="", TODAY()&gt;H13), "✓", "")</f>
        <v/>
      </c>
    </row>
    <row r="14">
      <c r="O14" s="17">
        <f>IF(AND(H14&lt;&gt;"", I14="", TODAY()&gt;H14), "✓", "")</f>
        <v/>
      </c>
    </row>
    <row r="15">
      <c r="O15" s="17">
        <f>IF(AND(H15&lt;&gt;"", I15="", TODAY()&gt;H15), "✓", "")</f>
        <v/>
      </c>
    </row>
    <row r="16">
      <c r="O16" s="17">
        <f>IF(AND(H16&lt;&gt;"", I16="", TODAY()&gt;H16), "✓", "")</f>
        <v/>
      </c>
    </row>
    <row r="17">
      <c r="O17" s="17">
        <f>IF(AND(H17&lt;&gt;"", I17="", TODAY()&gt;H17), "✓", "")</f>
        <v/>
      </c>
    </row>
    <row r="18">
      <c r="O18" s="17">
        <f>IF(AND(H18&lt;&gt;"", I18="", TODAY()&gt;H18), "✓", "")</f>
        <v/>
      </c>
    </row>
    <row r="19">
      <c r="O19" s="17">
        <f>IF(AND(H19&lt;&gt;"", I19="", TODAY()&gt;H19), "✓", "")</f>
        <v/>
      </c>
    </row>
    <row r="20">
      <c r="O20" s="17">
        <f>IF(AND(H20&lt;&gt;"", I20="", TODAY()&gt;H20), "✓", "")</f>
        <v/>
      </c>
    </row>
    <row r="21">
      <c r="O21" s="17">
        <f>IF(AND(H21&lt;&gt;"", I21="", TODAY()&gt;H21), "✓", "")</f>
        <v/>
      </c>
    </row>
    <row r="22">
      <c r="O22" s="17">
        <f>IF(AND(H22&lt;&gt;"", I22="", TODAY()&gt;H22), "✓", "")</f>
        <v/>
      </c>
    </row>
    <row r="23">
      <c r="O23" s="17">
        <f>IF(AND(H23&lt;&gt;"", I23="", TODAY()&gt;H23), "✓", "")</f>
        <v/>
      </c>
    </row>
    <row r="24">
      <c r="O24" s="17">
        <f>IF(AND(H24&lt;&gt;"", I24="", TODAY()&gt;H24), "✓", "")</f>
        <v/>
      </c>
    </row>
    <row r="25">
      <c r="O25" s="17">
        <f>IF(AND(H25&lt;&gt;"", I25="", TODAY()&gt;H25), "✓", "")</f>
        <v/>
      </c>
    </row>
    <row r="26">
      <c r="O26" s="17">
        <f>IF(AND(H26&lt;&gt;"", I26="", TODAY()&gt;H26), "✓", "")</f>
        <v/>
      </c>
    </row>
    <row r="27">
      <c r="O27" s="17">
        <f>IF(AND(H27&lt;&gt;"", I27="", TODAY()&gt;H27), "✓", "")</f>
        <v/>
      </c>
    </row>
    <row r="28">
      <c r="O28" s="17">
        <f>IF(AND(H28&lt;&gt;"", I28="", TODAY()&gt;H28), "✓", "")</f>
        <v/>
      </c>
    </row>
    <row r="29">
      <c r="O29" s="17">
        <f>IF(AND(H29&lt;&gt;"", I29="", TODAY()&gt;H29), "✓", "")</f>
        <v/>
      </c>
    </row>
    <row r="30">
      <c r="O30" s="17">
        <f>IF(AND(H30&lt;&gt;"", I30="", TODAY()&gt;H30), "✓", "")</f>
        <v/>
      </c>
    </row>
    <row r="31">
      <c r="O31" s="17">
        <f>IF(AND(H31&lt;&gt;"", I31="", TODAY()&gt;H31), "✓", "")</f>
        <v/>
      </c>
    </row>
    <row r="32">
      <c r="O32" s="17">
        <f>IF(AND(H32&lt;&gt;"", I32="", TODAY()&gt;H32), "✓", "")</f>
        <v/>
      </c>
    </row>
    <row r="33">
      <c r="O33" s="17">
        <f>IF(AND(H33&lt;&gt;"", I33="", TODAY()&gt;H33), "✓", "")</f>
        <v/>
      </c>
    </row>
    <row r="34">
      <c r="O34" s="17">
        <f>IF(AND(H34&lt;&gt;"", I34="", TODAY()&gt;H34), "✓", "")</f>
        <v/>
      </c>
    </row>
    <row r="35">
      <c r="O35" s="17">
        <f>IF(AND(H35&lt;&gt;"", I35="", TODAY()&gt;H35), "✓", "")</f>
        <v/>
      </c>
    </row>
    <row r="36">
      <c r="O36" s="17">
        <f>IF(AND(H36&lt;&gt;"", I36="", TODAY()&gt;H36), "✓", "")</f>
        <v/>
      </c>
    </row>
    <row r="37">
      <c r="O37" s="17">
        <f>IF(AND(H37&lt;&gt;"", I37="", TODAY()&gt;H37), "✓", "")</f>
        <v/>
      </c>
    </row>
    <row r="38">
      <c r="O38" s="17">
        <f>IF(AND(H38&lt;&gt;"", I38="", TODAY()&gt;H38), "✓", "")</f>
        <v/>
      </c>
    </row>
    <row r="39">
      <c r="O39" s="17">
        <f>IF(AND(H39&lt;&gt;"", I39="", TODAY()&gt;H39), "✓", "")</f>
        <v/>
      </c>
    </row>
    <row r="40">
      <c r="O40" s="17">
        <f>IF(AND(H40&lt;&gt;"", I40="", TODAY()&gt;H40), "✓", "")</f>
        <v/>
      </c>
    </row>
    <row r="41">
      <c r="O41" s="17">
        <f>IF(AND(H41&lt;&gt;"", I41="", TODAY()&gt;H41), "✓", "")</f>
        <v/>
      </c>
    </row>
    <row r="42">
      <c r="O42" s="17">
        <f>IF(AND(H42&lt;&gt;"", I42="", TODAY()&gt;H42), "✓", "")</f>
        <v/>
      </c>
    </row>
    <row r="43">
      <c r="O43" s="17">
        <f>IF(AND(H43&lt;&gt;"", I43="", TODAY()&gt;H43), "✓", "")</f>
        <v/>
      </c>
    </row>
    <row r="44">
      <c r="O44" s="17">
        <f>IF(AND(H44&lt;&gt;"", I44="", TODAY()&gt;H44), "✓", "")</f>
        <v/>
      </c>
    </row>
    <row r="45">
      <c r="O45" s="17">
        <f>IF(AND(H45&lt;&gt;"", I45="", TODAY()&gt;H45), "✓", "")</f>
        <v/>
      </c>
    </row>
    <row r="46">
      <c r="O46" s="17">
        <f>IF(AND(H46&lt;&gt;"", I46="", TODAY()&gt;H46), "✓", "")</f>
        <v/>
      </c>
    </row>
    <row r="47">
      <c r="O47" s="17">
        <f>IF(AND(H47&lt;&gt;"", I47="", TODAY()&gt;H47), "✓", "")</f>
        <v/>
      </c>
    </row>
    <row r="48">
      <c r="O48" s="17">
        <f>IF(AND(H48&lt;&gt;"", I48="", TODAY()&gt;H48), "✓", "")</f>
        <v/>
      </c>
    </row>
    <row r="49">
      <c r="O49" s="17">
        <f>IF(AND(H49&lt;&gt;"", I49="", TODAY()&gt;H49), "✓", "")</f>
        <v/>
      </c>
    </row>
    <row r="50">
      <c r="O50" s="17">
        <f>IF(AND(H50&lt;&gt;"", I50="", TODAY()&gt;H50), "✓", "")</f>
        <v/>
      </c>
    </row>
    <row r="51">
      <c r="O51" s="17">
        <f>IF(AND(H51&lt;&gt;"", I51="", TODAY()&gt;H51), "✓", "")</f>
        <v/>
      </c>
    </row>
    <row r="52">
      <c r="O52" s="17">
        <f>IF(AND(H52&lt;&gt;"", I52="", TODAY()&gt;H52), "✓", "")</f>
        <v/>
      </c>
    </row>
    <row r="53">
      <c r="O53" s="17">
        <f>IF(AND(H53&lt;&gt;"", I53="", TODAY()&gt;H53), "✓", "")</f>
        <v/>
      </c>
    </row>
    <row r="54">
      <c r="O54" s="17">
        <f>IF(AND(H54&lt;&gt;"", I54="", TODAY()&gt;H54), "✓", "")</f>
        <v/>
      </c>
    </row>
    <row r="55">
      <c r="O55" s="17">
        <f>IF(AND(H55&lt;&gt;"", I55="", TODAY()&gt;H55), "✓", "")</f>
        <v/>
      </c>
    </row>
    <row r="56">
      <c r="O56" s="17">
        <f>IF(AND(H56&lt;&gt;"", I56="", TODAY()&gt;H56), "✓", "")</f>
        <v/>
      </c>
    </row>
    <row r="57">
      <c r="O57" s="17">
        <f>IF(AND(H57&lt;&gt;"", I57="", TODAY()&gt;H57), "✓", "")</f>
        <v/>
      </c>
    </row>
    <row r="58">
      <c r="O58" s="17">
        <f>IF(AND(H58&lt;&gt;"", I58="", TODAY()&gt;H58), "✓", "")</f>
        <v/>
      </c>
    </row>
    <row r="59">
      <c r="O59" s="17">
        <f>IF(AND(H59&lt;&gt;"", I59="", TODAY()&gt;H59), "✓", "")</f>
        <v/>
      </c>
    </row>
    <row r="60">
      <c r="O60" s="17">
        <f>IF(AND(H60&lt;&gt;"", I60="", TODAY()&gt;H60), "✓", "")</f>
        <v/>
      </c>
    </row>
    <row r="61">
      <c r="O61" s="17">
        <f>IF(AND(H61&lt;&gt;"", I61="", TODAY()&gt;H61), "✓", "")</f>
        <v/>
      </c>
    </row>
    <row r="62">
      <c r="O62" s="17">
        <f>IF(AND(H62&lt;&gt;"", I62="", TODAY()&gt;H62), "✓", "")</f>
        <v/>
      </c>
    </row>
    <row r="63">
      <c r="O63" s="17">
        <f>IF(AND(H63&lt;&gt;"", I63="", TODAY()&gt;H63), "✓", "")</f>
        <v/>
      </c>
    </row>
    <row r="64">
      <c r="O64" s="17">
        <f>IF(AND(H64&lt;&gt;"", I64="", TODAY()&gt;H64), "✓", "")</f>
        <v/>
      </c>
    </row>
    <row r="65">
      <c r="O65" s="17">
        <f>IF(AND(H65&lt;&gt;"", I65="", TODAY()&gt;H65), "✓", "")</f>
        <v/>
      </c>
    </row>
    <row r="66">
      <c r="O66" s="17">
        <f>IF(AND(H66&lt;&gt;"", I66="", TODAY()&gt;H66), "✓", "")</f>
        <v/>
      </c>
    </row>
    <row r="67">
      <c r="O67" s="17">
        <f>IF(AND(H67&lt;&gt;"", I67="", TODAY()&gt;H67), "✓", "")</f>
        <v/>
      </c>
    </row>
    <row r="68">
      <c r="O68" s="17">
        <f>IF(AND(H68&lt;&gt;"", I68="", TODAY()&gt;H68), "✓", "")</f>
        <v/>
      </c>
    </row>
    <row r="69">
      <c r="O69" s="17">
        <f>IF(AND(H69&lt;&gt;"", I69="", TODAY()&gt;H69), "✓", "")</f>
        <v/>
      </c>
    </row>
    <row r="70">
      <c r="O70" s="17">
        <f>IF(AND(H70&lt;&gt;"", I70="", TODAY()&gt;H70), "✓", "")</f>
        <v/>
      </c>
    </row>
    <row r="71">
      <c r="O71" s="17">
        <f>IF(AND(H71&lt;&gt;"", I71="", TODAY()&gt;H71), "✓", "")</f>
        <v/>
      </c>
    </row>
    <row r="72">
      <c r="O72" s="17">
        <f>IF(AND(H72&lt;&gt;"", I72="", TODAY()&gt;H72), "✓", "")</f>
        <v/>
      </c>
    </row>
    <row r="73">
      <c r="O73" s="17">
        <f>IF(AND(H73&lt;&gt;"", I73="", TODAY()&gt;H73), "✓", "")</f>
        <v/>
      </c>
    </row>
    <row r="74">
      <c r="O74" s="17">
        <f>IF(AND(H74&lt;&gt;"", I74="", TODAY()&gt;H74), "✓", "")</f>
        <v/>
      </c>
    </row>
    <row r="75">
      <c r="O75" s="17">
        <f>IF(AND(H75&lt;&gt;"", I75="", TODAY()&gt;H75), "✓", "")</f>
        <v/>
      </c>
    </row>
    <row r="76">
      <c r="O76" s="17">
        <f>IF(AND(H76&lt;&gt;"", I76="", TODAY()&gt;H76), "✓", "")</f>
        <v/>
      </c>
    </row>
    <row r="77">
      <c r="O77" s="17">
        <f>IF(AND(H77&lt;&gt;"", I77="", TODAY()&gt;H77), "✓", "")</f>
        <v/>
      </c>
    </row>
    <row r="78">
      <c r="O78" s="17">
        <f>IF(AND(H78&lt;&gt;"", I78="", TODAY()&gt;H78), "✓", "")</f>
        <v/>
      </c>
    </row>
    <row r="79">
      <c r="O79" s="17">
        <f>IF(AND(H79&lt;&gt;"", I79="", TODAY()&gt;H79), "✓", "")</f>
        <v/>
      </c>
    </row>
    <row r="80">
      <c r="O80" s="17">
        <f>IF(AND(H80&lt;&gt;"", I80="", TODAY()&gt;H80), "✓", "")</f>
        <v/>
      </c>
    </row>
    <row r="81">
      <c r="O81" s="17">
        <f>IF(AND(H81&lt;&gt;"", I81="", TODAY()&gt;H81), "✓", "")</f>
        <v/>
      </c>
    </row>
    <row r="82">
      <c r="O82" s="17">
        <f>IF(AND(H82&lt;&gt;"", I82="", TODAY()&gt;H82), "✓", "")</f>
        <v/>
      </c>
    </row>
    <row r="83">
      <c r="O83" s="17">
        <f>IF(AND(H83&lt;&gt;"", I83="", TODAY()&gt;H83), "✓", "")</f>
        <v/>
      </c>
    </row>
    <row r="84">
      <c r="O84" s="17">
        <f>IF(AND(H84&lt;&gt;"", I84="", TODAY()&gt;H84), "✓", "")</f>
        <v/>
      </c>
    </row>
    <row r="85">
      <c r="O85" s="17">
        <f>IF(AND(H85&lt;&gt;"", I85="", TODAY()&gt;H85), "✓", "")</f>
        <v/>
      </c>
    </row>
    <row r="86">
      <c r="O86" s="17">
        <f>IF(AND(H86&lt;&gt;"", I86="", TODAY()&gt;H86), "✓", "")</f>
        <v/>
      </c>
    </row>
    <row r="87">
      <c r="O87" s="17">
        <f>IF(AND(H87&lt;&gt;"", I87="", TODAY()&gt;H87), "✓", "")</f>
        <v/>
      </c>
    </row>
    <row r="88">
      <c r="O88" s="17">
        <f>IF(AND(H88&lt;&gt;"", I88="", TODAY()&gt;H88), "✓", "")</f>
        <v/>
      </c>
    </row>
    <row r="89">
      <c r="O89" s="17">
        <f>IF(AND(H89&lt;&gt;"", I89="", TODAY()&gt;H89), "✓", "")</f>
        <v/>
      </c>
    </row>
    <row r="90">
      <c r="O90" s="17">
        <f>IF(AND(H90&lt;&gt;"", I90="", TODAY()&gt;H90), "✓", "")</f>
        <v/>
      </c>
    </row>
    <row r="91">
      <c r="O91" s="17">
        <f>IF(AND(H91&lt;&gt;"", I91="", TODAY()&gt;H91), "✓", "")</f>
        <v/>
      </c>
    </row>
    <row r="92">
      <c r="O92" s="17">
        <f>IF(AND(H92&lt;&gt;"", I92="", TODAY()&gt;H92), "✓", "")</f>
        <v/>
      </c>
    </row>
    <row r="93">
      <c r="O93" s="17">
        <f>IF(AND(H93&lt;&gt;"", I93="", TODAY()&gt;H93), "✓", "")</f>
        <v/>
      </c>
    </row>
    <row r="94">
      <c r="O94" s="17">
        <f>IF(AND(H94&lt;&gt;"", I94="", TODAY()&gt;H94), "✓", "")</f>
        <v/>
      </c>
    </row>
    <row r="95">
      <c r="O95" s="17">
        <f>IF(AND(H95&lt;&gt;"", I95="", TODAY()&gt;H95), "✓", "")</f>
        <v/>
      </c>
    </row>
    <row r="96">
      <c r="O96" s="17">
        <f>IF(AND(H96&lt;&gt;"", I96="", TODAY()&gt;H96), "✓", "")</f>
        <v/>
      </c>
    </row>
    <row r="97">
      <c r="O97" s="17">
        <f>IF(AND(H97&lt;&gt;"", I97="", TODAY()&gt;H97), "✓", "")</f>
        <v/>
      </c>
    </row>
    <row r="98">
      <c r="O98" s="17">
        <f>IF(AND(H98&lt;&gt;"", I98="", TODAY()&gt;H98), "✓", "")</f>
        <v/>
      </c>
    </row>
    <row r="99">
      <c r="O99" s="17">
        <f>IF(AND(H99&lt;&gt;"", I99="", TODAY()&gt;H99), "✓", "")</f>
        <v/>
      </c>
    </row>
    <row r="100">
      <c r="O100" s="17">
        <f>IF(AND(H100&lt;&gt;"", I100="", TODAY()&gt;H100), "✓", "")</f>
        <v/>
      </c>
    </row>
    <row r="101">
      <c r="O101" s="17">
        <f>IF(AND(H101&lt;&gt;"", I101="", TODAY()&gt;H101), "✓", "")</f>
        <v/>
      </c>
    </row>
    <row r="102">
      <c r="O102" s="17">
        <f>IF(AND(H102&lt;&gt;"", I102="", TODAY()&gt;H102), "✓", "")</f>
        <v/>
      </c>
    </row>
    <row r="103">
      <c r="O103" s="17">
        <f>IF(AND(H103&lt;&gt;"", I103="", TODAY()&gt;H103), "✓", "")</f>
        <v/>
      </c>
    </row>
    <row r="104">
      <c r="O104" s="17">
        <f>IF(AND(H104&lt;&gt;"", I104="", TODAY()&gt;H104), "✓", "")</f>
        <v/>
      </c>
    </row>
    <row r="105">
      <c r="O105" s="17">
        <f>IF(AND(H105&lt;&gt;"", I105="", TODAY()&gt;H105), "✓", "")</f>
        <v/>
      </c>
    </row>
    <row r="106">
      <c r="O106" s="17">
        <f>IF(AND(H106&lt;&gt;"", I106="", TODAY()&gt;H106), "✓", "")</f>
        <v/>
      </c>
    </row>
    <row r="107">
      <c r="O107" s="17">
        <f>IF(AND(H107&lt;&gt;"", I107="", TODAY()&gt;H107), "✓", "")</f>
        <v/>
      </c>
    </row>
    <row r="108">
      <c r="O108" s="17">
        <f>IF(AND(H108&lt;&gt;"", I108="", TODAY()&gt;H108), "✓", "")</f>
        <v/>
      </c>
    </row>
    <row r="109">
      <c r="O109" s="17">
        <f>IF(AND(H109&lt;&gt;"", I109="", TODAY()&gt;H109), "✓", "")</f>
        <v/>
      </c>
    </row>
    <row r="110">
      <c r="O110" s="17">
        <f>IF(AND(H110&lt;&gt;"", I110="", TODAY()&gt;H110), "✓", "")</f>
        <v/>
      </c>
    </row>
    <row r="111">
      <c r="O111" s="17">
        <f>IF(AND(H111&lt;&gt;"", I111="", TODAY()&gt;H111), "✓", "")</f>
        <v/>
      </c>
    </row>
    <row r="112">
      <c r="O112" s="17">
        <f>IF(AND(H112&lt;&gt;"", I112="", TODAY()&gt;H112), "✓", "")</f>
        <v/>
      </c>
    </row>
    <row r="113">
      <c r="O113" s="17">
        <f>IF(AND(H113&lt;&gt;"", I113="", TODAY()&gt;H113), "✓", "")</f>
        <v/>
      </c>
    </row>
    <row r="114">
      <c r="O114" s="17">
        <f>IF(AND(H114&lt;&gt;"", I114="", TODAY()&gt;H114), "✓", "")</f>
        <v/>
      </c>
    </row>
    <row r="115">
      <c r="O115" s="17">
        <f>IF(AND(H115&lt;&gt;"", I115="", TODAY()&gt;H115), "✓", "")</f>
        <v/>
      </c>
    </row>
    <row r="116">
      <c r="O116" s="17">
        <f>IF(AND(H116&lt;&gt;"", I116="", TODAY()&gt;H116), "✓", "")</f>
        <v/>
      </c>
    </row>
    <row r="117">
      <c r="O117" s="17">
        <f>IF(AND(H117&lt;&gt;"", I117="", TODAY()&gt;H117), "✓", "")</f>
        <v/>
      </c>
    </row>
    <row r="118">
      <c r="O118" s="17">
        <f>IF(AND(H118&lt;&gt;"", I118="", TODAY()&gt;H118), "✓", "")</f>
        <v/>
      </c>
    </row>
    <row r="119">
      <c r="O119" s="17">
        <f>IF(AND(H119&lt;&gt;"", I119="", TODAY()&gt;H119), "✓", "")</f>
        <v/>
      </c>
    </row>
    <row r="120">
      <c r="O120" s="17">
        <f>IF(AND(H120&lt;&gt;"", I120="", TODAY()&gt;H120), "✓", "")</f>
        <v/>
      </c>
    </row>
    <row r="121">
      <c r="O121" s="17">
        <f>IF(AND(H121&lt;&gt;"", I121="", TODAY()&gt;H121), "✓", "")</f>
        <v/>
      </c>
    </row>
    <row r="122">
      <c r="O122" s="17">
        <f>IF(AND(H122&lt;&gt;"", I122="", TODAY()&gt;H122), "✓", "")</f>
        <v/>
      </c>
    </row>
    <row r="123">
      <c r="O123" s="17">
        <f>IF(AND(H123&lt;&gt;"", I123="", TODAY()&gt;H123), "✓", "")</f>
        <v/>
      </c>
    </row>
    <row r="124">
      <c r="O124" s="17">
        <f>IF(AND(H124&lt;&gt;"", I124="", TODAY()&gt;H124), "✓", "")</f>
        <v/>
      </c>
    </row>
    <row r="125">
      <c r="O125" s="17">
        <f>IF(AND(H125&lt;&gt;"", I125="", TODAY()&gt;H125), "✓", "")</f>
        <v/>
      </c>
    </row>
    <row r="126">
      <c r="O126" s="17">
        <f>IF(AND(H126&lt;&gt;"", I126="", TODAY()&gt;H126), "✓", "")</f>
        <v/>
      </c>
    </row>
    <row r="127">
      <c r="O127" s="17">
        <f>IF(AND(H127&lt;&gt;"", I127="", TODAY()&gt;H127), "✓", "")</f>
        <v/>
      </c>
    </row>
    <row r="128">
      <c r="O128" s="17">
        <f>IF(AND(H128&lt;&gt;"", I128="", TODAY()&gt;H128), "✓", "")</f>
        <v/>
      </c>
    </row>
    <row r="129">
      <c r="O129" s="17">
        <f>IF(AND(H129&lt;&gt;"", I129="", TODAY()&gt;H129), "✓", "")</f>
        <v/>
      </c>
    </row>
    <row r="130">
      <c r="O130" s="17">
        <f>IF(AND(H130&lt;&gt;"", I130="", TODAY()&gt;H130), "✓", "")</f>
        <v/>
      </c>
    </row>
    <row r="131">
      <c r="O131" s="17">
        <f>IF(AND(H131&lt;&gt;"", I131="", TODAY()&gt;H131), "✓", "")</f>
        <v/>
      </c>
    </row>
    <row r="132">
      <c r="O132" s="17">
        <f>IF(AND(H132&lt;&gt;"", I132="", TODAY()&gt;H132), "✓", "")</f>
        <v/>
      </c>
    </row>
    <row r="133">
      <c r="O133" s="17">
        <f>IF(AND(H133&lt;&gt;"", I133="", TODAY()&gt;H133), "✓", "")</f>
        <v/>
      </c>
    </row>
    <row r="134">
      <c r="O134" s="17">
        <f>IF(AND(H134&lt;&gt;"", I134="", TODAY()&gt;H134), "✓", "")</f>
        <v/>
      </c>
    </row>
    <row r="135">
      <c r="O135" s="17">
        <f>IF(AND(H135&lt;&gt;"", I135="", TODAY()&gt;H135), "✓", "")</f>
        <v/>
      </c>
    </row>
    <row r="136">
      <c r="O136" s="17">
        <f>IF(AND(H136&lt;&gt;"", I136="", TODAY()&gt;H136), "✓", "")</f>
        <v/>
      </c>
    </row>
    <row r="137">
      <c r="O137" s="17">
        <f>IF(AND(H137&lt;&gt;"", I137="", TODAY()&gt;H137), "✓", "")</f>
        <v/>
      </c>
    </row>
    <row r="138">
      <c r="O138" s="17">
        <f>IF(AND(H138&lt;&gt;"", I138="", TODAY()&gt;H138), "✓", "")</f>
        <v/>
      </c>
    </row>
    <row r="139">
      <c r="O139" s="17">
        <f>IF(AND(H139&lt;&gt;"", I139="", TODAY()&gt;H139), "✓", "")</f>
        <v/>
      </c>
    </row>
    <row r="140">
      <c r="O140" s="17">
        <f>IF(AND(H140&lt;&gt;"", I140="", TODAY()&gt;H140), "✓", "")</f>
        <v/>
      </c>
    </row>
    <row r="141">
      <c r="O141" s="17">
        <f>IF(AND(H141&lt;&gt;"", I141="", TODAY()&gt;H141), "✓", "")</f>
        <v/>
      </c>
    </row>
    <row r="142">
      <c r="O142" s="17">
        <f>IF(AND(H142&lt;&gt;"", I142="", TODAY()&gt;H142), "✓", "")</f>
        <v/>
      </c>
    </row>
    <row r="143">
      <c r="O143" s="17">
        <f>IF(AND(H143&lt;&gt;"", I143="", TODAY()&gt;H143), "✓", "")</f>
        <v/>
      </c>
    </row>
    <row r="144">
      <c r="O144" s="17">
        <f>IF(AND(H144&lt;&gt;"", I144="", TODAY()&gt;H144), "✓", "")</f>
        <v/>
      </c>
    </row>
    <row r="145">
      <c r="O145" s="17">
        <f>IF(AND(H145&lt;&gt;"", I145="", TODAY()&gt;H145), "✓", "")</f>
        <v/>
      </c>
    </row>
    <row r="146">
      <c r="O146" s="17">
        <f>IF(AND(H146&lt;&gt;"", I146="", TODAY()&gt;H146), "✓", "")</f>
        <v/>
      </c>
    </row>
    <row r="147">
      <c r="O147" s="17">
        <f>IF(AND(H147&lt;&gt;"", I147="", TODAY()&gt;H147), "✓", "")</f>
        <v/>
      </c>
    </row>
    <row r="148">
      <c r="O148" s="17">
        <f>IF(AND(H148&lt;&gt;"", I148="", TODAY()&gt;H148), "✓", "")</f>
        <v/>
      </c>
    </row>
    <row r="149">
      <c r="O149" s="17">
        <f>IF(AND(H149&lt;&gt;"", I149="", TODAY()&gt;H149), "✓", "")</f>
        <v/>
      </c>
    </row>
    <row r="150">
      <c r="O150" s="17">
        <f>IF(AND(H150&lt;&gt;"", I150="", TODAY()&gt;H150), "✓", "")</f>
        <v/>
      </c>
    </row>
    <row r="151">
      <c r="O151" s="17">
        <f>IF(AND(H151&lt;&gt;"", I151="", TODAY()&gt;H151), "✓", "")</f>
        <v/>
      </c>
    </row>
    <row r="152">
      <c r="O152" s="17">
        <f>IF(AND(H152&lt;&gt;"", I152="", TODAY()&gt;H152), "✓", "")</f>
        <v/>
      </c>
    </row>
    <row r="153">
      <c r="O153" s="17">
        <f>IF(AND(H153&lt;&gt;"", I153="", TODAY()&gt;H153), "✓", "")</f>
        <v/>
      </c>
    </row>
    <row r="154">
      <c r="O154" s="17">
        <f>IF(AND(H154&lt;&gt;"", I154="", TODAY()&gt;H154), "✓", "")</f>
        <v/>
      </c>
    </row>
    <row r="155">
      <c r="O155" s="17">
        <f>IF(AND(H155&lt;&gt;"", I155="", TODAY()&gt;H155), "✓", "")</f>
        <v/>
      </c>
    </row>
    <row r="156">
      <c r="O156" s="17">
        <f>IF(AND(H156&lt;&gt;"", I156="", TODAY()&gt;H156), "✓", "")</f>
        <v/>
      </c>
    </row>
    <row r="157">
      <c r="O157" s="17">
        <f>IF(AND(H157&lt;&gt;"", I157="", TODAY()&gt;H157), "✓", "")</f>
        <v/>
      </c>
    </row>
    <row r="158">
      <c r="O158" s="17">
        <f>IF(AND(H158&lt;&gt;"", I158="", TODAY()&gt;H158), "✓", "")</f>
        <v/>
      </c>
    </row>
    <row r="159">
      <c r="O159" s="17">
        <f>IF(AND(H159&lt;&gt;"", I159="", TODAY()&gt;H159), "✓", "")</f>
        <v/>
      </c>
    </row>
    <row r="160">
      <c r="O160" s="17">
        <f>IF(AND(H160&lt;&gt;"", I160="", TODAY()&gt;H160), "✓", "")</f>
        <v/>
      </c>
    </row>
    <row r="161">
      <c r="O161" s="17">
        <f>IF(AND(H161&lt;&gt;"", I161="", TODAY()&gt;H161), "✓", "")</f>
        <v/>
      </c>
    </row>
    <row r="162">
      <c r="O162" s="17">
        <f>IF(AND(H162&lt;&gt;"", I162="", TODAY()&gt;H162), "✓", "")</f>
        <v/>
      </c>
    </row>
    <row r="163">
      <c r="O163" s="17">
        <f>IF(AND(H163&lt;&gt;"", I163="", TODAY()&gt;H163), "✓", "")</f>
        <v/>
      </c>
    </row>
    <row r="164">
      <c r="O164" s="17">
        <f>IF(AND(H164&lt;&gt;"", I164="", TODAY()&gt;H164), "✓", "")</f>
        <v/>
      </c>
    </row>
    <row r="165">
      <c r="O165" s="17">
        <f>IF(AND(H165&lt;&gt;"", I165="", TODAY()&gt;H165), "✓", "")</f>
        <v/>
      </c>
    </row>
    <row r="166">
      <c r="O166" s="17">
        <f>IF(AND(H166&lt;&gt;"", I166="", TODAY()&gt;H166), "✓", "")</f>
        <v/>
      </c>
    </row>
    <row r="167">
      <c r="O167" s="17">
        <f>IF(AND(H167&lt;&gt;"", I167="", TODAY()&gt;H167), "✓", "")</f>
        <v/>
      </c>
    </row>
    <row r="168">
      <c r="O168" s="17">
        <f>IF(AND(H168&lt;&gt;"", I168="", TODAY()&gt;H168), "✓", "")</f>
        <v/>
      </c>
    </row>
    <row r="169">
      <c r="O169" s="17">
        <f>IF(AND(H169&lt;&gt;"", I169="", TODAY()&gt;H169), "✓", "")</f>
        <v/>
      </c>
    </row>
    <row r="170">
      <c r="O170" s="17">
        <f>IF(AND(H170&lt;&gt;"", I170="", TODAY()&gt;H170), "✓", "")</f>
        <v/>
      </c>
    </row>
    <row r="171">
      <c r="O171" s="17">
        <f>IF(AND(H171&lt;&gt;"", I171="", TODAY()&gt;H171), "✓", "")</f>
        <v/>
      </c>
    </row>
    <row r="172">
      <c r="O172" s="17">
        <f>IF(AND(H172&lt;&gt;"", I172="", TODAY()&gt;H172), "✓", "")</f>
        <v/>
      </c>
    </row>
    <row r="173">
      <c r="O173" s="17">
        <f>IF(AND(H173&lt;&gt;"", I173="", TODAY()&gt;H173), "✓", "")</f>
        <v/>
      </c>
    </row>
    <row r="174">
      <c r="O174" s="17">
        <f>IF(AND(H174&lt;&gt;"", I174="", TODAY()&gt;H174), "✓", "")</f>
        <v/>
      </c>
    </row>
    <row r="175">
      <c r="O175" s="17">
        <f>IF(AND(H175&lt;&gt;"", I175="", TODAY()&gt;H175), "✓", "")</f>
        <v/>
      </c>
    </row>
    <row r="176">
      <c r="O176" s="17">
        <f>IF(AND(H176&lt;&gt;"", I176="", TODAY()&gt;H176), "✓", "")</f>
        <v/>
      </c>
    </row>
    <row r="177">
      <c r="O177" s="17">
        <f>IF(AND(H177&lt;&gt;"", I177="", TODAY()&gt;H177), "✓", "")</f>
        <v/>
      </c>
    </row>
    <row r="178">
      <c r="O178" s="17">
        <f>IF(AND(H178&lt;&gt;"", I178="", TODAY()&gt;H178), "✓", "")</f>
        <v/>
      </c>
    </row>
    <row r="179">
      <c r="O179" s="17">
        <f>IF(AND(H179&lt;&gt;"", I179="", TODAY()&gt;H179), "✓", "")</f>
        <v/>
      </c>
    </row>
    <row r="180">
      <c r="O180" s="17">
        <f>IF(AND(H180&lt;&gt;"", I180="", TODAY()&gt;H180), "✓", "")</f>
        <v/>
      </c>
    </row>
    <row r="181">
      <c r="O181" s="17">
        <f>IF(AND(H181&lt;&gt;"", I181="", TODAY()&gt;H181), "✓", "")</f>
        <v/>
      </c>
    </row>
    <row r="182">
      <c r="O182" s="17">
        <f>IF(AND(H182&lt;&gt;"", I182="", TODAY()&gt;H182), "✓", "")</f>
        <v/>
      </c>
    </row>
    <row r="183">
      <c r="O183" s="17">
        <f>IF(AND(H183&lt;&gt;"", I183="", TODAY()&gt;H183), "✓", "")</f>
        <v/>
      </c>
    </row>
    <row r="184">
      <c r="O184" s="17">
        <f>IF(AND(H184&lt;&gt;"", I184="", TODAY()&gt;H184), "✓", "")</f>
        <v/>
      </c>
    </row>
    <row r="185">
      <c r="O185" s="17">
        <f>IF(AND(H185&lt;&gt;"", I185="", TODAY()&gt;H185), "✓", "")</f>
        <v/>
      </c>
    </row>
    <row r="186">
      <c r="O186" s="17">
        <f>IF(AND(H186&lt;&gt;"", I186="", TODAY()&gt;H186), "✓", "")</f>
        <v/>
      </c>
    </row>
    <row r="187">
      <c r="O187" s="17">
        <f>IF(AND(H187&lt;&gt;"", I187="", TODAY()&gt;H187), "✓", "")</f>
        <v/>
      </c>
    </row>
    <row r="188">
      <c r="O188" s="17">
        <f>IF(AND(H188&lt;&gt;"", I188="", TODAY()&gt;H188), "✓", "")</f>
        <v/>
      </c>
    </row>
    <row r="189">
      <c r="O189" s="17">
        <f>IF(AND(H189&lt;&gt;"", I189="", TODAY()&gt;H189), "✓", "")</f>
        <v/>
      </c>
    </row>
    <row r="190">
      <c r="O190" s="17">
        <f>IF(AND(H190&lt;&gt;"", I190="", TODAY()&gt;H190), "✓", "")</f>
        <v/>
      </c>
    </row>
    <row r="191">
      <c r="O191" s="17">
        <f>IF(AND(H191&lt;&gt;"", I191="", TODAY()&gt;H191), "✓", "")</f>
        <v/>
      </c>
    </row>
    <row r="192">
      <c r="O192" s="17">
        <f>IF(AND(H192&lt;&gt;"", I192="", TODAY()&gt;H192), "✓", "")</f>
        <v/>
      </c>
    </row>
    <row r="193">
      <c r="O193" s="17">
        <f>IF(AND(H193&lt;&gt;"", I193="", TODAY()&gt;H193), "✓", "")</f>
        <v/>
      </c>
    </row>
    <row r="194">
      <c r="O194" s="17">
        <f>IF(AND(H194&lt;&gt;"", I194="", TODAY()&gt;H194), "✓", "")</f>
        <v/>
      </c>
    </row>
    <row r="195">
      <c r="O195" s="17">
        <f>IF(AND(H195&lt;&gt;"", I195="", TODAY()&gt;H195), "✓", "")</f>
        <v/>
      </c>
    </row>
    <row r="196">
      <c r="O196" s="17">
        <f>IF(AND(H196&lt;&gt;"", I196="", TODAY()&gt;H196), "✓", "")</f>
        <v/>
      </c>
    </row>
    <row r="197">
      <c r="O197" s="17">
        <f>IF(AND(H197&lt;&gt;"", I197="", TODAY()&gt;H197), "✓", "")</f>
        <v/>
      </c>
    </row>
    <row r="198">
      <c r="O198" s="17">
        <f>IF(AND(H198&lt;&gt;"", I198="", TODAY()&gt;H198), "✓", "")</f>
        <v/>
      </c>
    </row>
    <row r="199">
      <c r="O199" s="17">
        <f>IF(AND(H199&lt;&gt;"", I199="", TODAY()&gt;H199), "✓", "")</f>
        <v/>
      </c>
    </row>
    <row r="200">
      <c r="O200" s="17">
        <f>IF(AND(H200&lt;&gt;"", I200="", TODAY()&gt;H200), "✓", "")</f>
        <v/>
      </c>
    </row>
    <row r="201">
      <c r="O201" s="17">
        <f>IF(AND(H201&lt;&gt;"", I201="", TODAY()&gt;H201), "✓", "")</f>
        <v/>
      </c>
    </row>
  </sheetData>
  <conditionalFormatting sqref="A2:A201">
    <cfRule type="expression" priority="1" dxfId="0">
      <formula>AND($H2&lt;&gt;"",$I2="",$O2="✓")</formula>
    </cfRule>
  </conditionalFormatting>
  <conditionalFormatting sqref="B2:B201">
    <cfRule type="expression" priority="2" dxfId="0">
      <formula>AND($H2&lt;&gt;"",$I2="",$O2="✓")</formula>
    </cfRule>
  </conditionalFormatting>
  <conditionalFormatting sqref="C2:C201">
    <cfRule type="expression" priority="3" dxfId="0">
      <formula>AND($H2&lt;&gt;"",$I2="",$O2="✓")</formula>
    </cfRule>
  </conditionalFormatting>
  <conditionalFormatting sqref="D2:D201">
    <cfRule type="expression" priority="4" dxfId="0">
      <formula>AND($H2&lt;&gt;"",$I2="",$O2="✓")</formula>
    </cfRule>
  </conditionalFormatting>
  <conditionalFormatting sqref="E2:E201">
    <cfRule type="expression" priority="5" dxfId="0">
      <formula>AND($H2&lt;&gt;"",$I2="",$O2="✓")</formula>
    </cfRule>
  </conditionalFormatting>
  <conditionalFormatting sqref="F2:F201">
    <cfRule type="expression" priority="6" dxfId="0">
      <formula>AND($H2&lt;&gt;"",$I2="",$O2="✓")</formula>
    </cfRule>
  </conditionalFormatting>
  <conditionalFormatting sqref="G2:G201">
    <cfRule type="expression" priority="7" dxfId="0">
      <formula>AND($H2&lt;&gt;"",$I2="",$O2="✓")</formula>
    </cfRule>
  </conditionalFormatting>
  <conditionalFormatting sqref="H2:H201">
    <cfRule type="expression" priority="8" dxfId="0">
      <formula>AND($H2&lt;&gt;"",$I2="",$O2="✓")</formula>
    </cfRule>
  </conditionalFormatting>
  <conditionalFormatting sqref="I2:I201">
    <cfRule type="expression" priority="9" dxfId="0">
      <formula>AND($H2&lt;&gt;"",$I2="",$O2="✓")</formula>
    </cfRule>
  </conditionalFormatting>
  <conditionalFormatting sqref="J2:J201">
    <cfRule type="expression" priority="10" dxfId="0">
      <formula>AND($H2&lt;&gt;"",$I2="",$O2="✓")</formula>
    </cfRule>
  </conditionalFormatting>
  <conditionalFormatting sqref="K2:K201">
    <cfRule type="expression" priority="11" dxfId="0">
      <formula>AND($H2&lt;&gt;"",$I2="",$O2="✓")</formula>
    </cfRule>
  </conditionalFormatting>
  <conditionalFormatting sqref="L2:L201">
    <cfRule type="expression" priority="12" dxfId="0">
      <formula>AND($H2&lt;&gt;"",$I2="",$O2="✓")</formula>
    </cfRule>
  </conditionalFormatting>
  <conditionalFormatting sqref="M2:M201">
    <cfRule type="expression" priority="13" dxfId="0">
      <formula>AND($H2&lt;&gt;"",$I2="",$O2="✓")</formula>
    </cfRule>
  </conditionalFormatting>
  <conditionalFormatting sqref="N2:N201">
    <cfRule type="expression" priority="14" dxfId="0">
      <formula>AND($H2&lt;&gt;"",$I2="",$O2="✓")</formula>
    </cfRule>
  </conditionalFormatting>
  <conditionalFormatting sqref="O2:O201">
    <cfRule type="expression" priority="15" dxfId="0">
      <formula>AND($H2&lt;&gt;"",$I2="",$O2="✓")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25"/>
  <cols>
    <col width="18" customWidth="1" style="15" min="1" max="1"/>
    <col width="35" customWidth="1" style="15" min="2" max="2"/>
    <col width="28" customWidth="1" style="15" min="3" max="3"/>
    <col width="14" customWidth="1" style="15" min="4" max="4"/>
    <col width="20" customWidth="1" style="15" min="5" max="5"/>
    <col width="22" customWidth="1" style="15" min="6" max="6"/>
    <col width="12" customWidth="1" style="15" min="7" max="7"/>
    <col width="35" customWidth="1" style="15" min="8" max="8"/>
    <col width="20" customWidth="1" style="15" min="9" max="9"/>
    <col width="18" customWidth="1" style="15" min="10" max="11"/>
    <col width="22" customWidth="1" style="15" min="12" max="12"/>
    <col width="25" customWidth="1" style="15" min="13" max="13"/>
  </cols>
  <sheetData>
    <row r="1" ht="27.75" customHeight="1" s="15">
      <c r="A1" s="12" t="inlineStr">
        <is>
          <t>Mã QR</t>
        </is>
      </c>
      <c r="B1" s="12" t="inlineStr">
        <is>
          <t>Tên thiết bị</t>
        </is>
      </c>
      <c r="C1" s="12" t="inlineStr">
        <is>
          <t>Loại (Bảo trì/Hiệu chuẩn/Sửa chữa)</t>
        </is>
      </c>
      <c r="D1" s="12" t="inlineStr">
        <is>
          <t>Ngày thực hiện</t>
        </is>
      </c>
      <c r="E1" s="12" t="inlineStr">
        <is>
          <t>Ngày hiệu chuẩn tiếp theo</t>
        </is>
      </c>
      <c r="F1" s="12" t="inlineStr">
        <is>
          <t>Đơn vị thực hiện</t>
        </is>
      </c>
      <c r="G1" s="12" t="inlineStr">
        <is>
          <t>Chi phí (tr.đ)</t>
        </is>
      </c>
      <c r="H1" s="12" t="inlineStr">
        <is>
          <t>Nội dung công việc</t>
        </is>
      </c>
      <c r="I1" s="12" t="inlineStr">
        <is>
          <t>Kết quả</t>
        </is>
      </c>
      <c r="J1" s="12" t="inlineStr">
        <is>
          <t>Người thực hiện</t>
        </is>
      </c>
      <c r="K1" s="12" t="inlineStr">
        <is>
          <t>Người phê duyệt</t>
        </is>
      </c>
      <c r="L1" s="12" t="inlineStr">
        <is>
          <t>Tài liệu đính kèm</t>
        </is>
      </c>
      <c r="M1" s="12" t="inlineStr">
        <is>
          <t>Ghi chú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4.25"/>
  <cols>
    <col width="25" customWidth="1" style="15" min="1" max="1"/>
    <col width="35" customWidth="1" style="15" min="2" max="2"/>
    <col width="22" customWidth="1" style="15" min="3" max="3"/>
    <col width="25" customWidth="1" style="15" min="4" max="4"/>
    <col width="15" customWidth="1" style="15" min="5" max="5"/>
    <col width="30" customWidth="1" style="15" min="6" max="6"/>
  </cols>
  <sheetData>
    <row r="1">
      <c r="A1" s="13" t="inlineStr">
        <is>
          <t>Họ và tên</t>
        </is>
      </c>
      <c r="B1" s="13" t="inlineStr">
        <is>
          <t>Mảng phụ trách</t>
        </is>
      </c>
      <c r="C1" s="13" t="inlineStr">
        <is>
          <t>Vai trò</t>
        </is>
      </c>
      <c r="D1" s="13" t="inlineStr">
        <is>
          <t>Email</t>
        </is>
      </c>
      <c r="E1" s="13" t="inlineStr">
        <is>
          <t>SĐT</t>
        </is>
      </c>
      <c r="F1" s="13" t="inlineStr">
        <is>
          <t>Ghi chú</t>
        </is>
      </c>
    </row>
    <row r="2">
      <c r="A2" s="2" t="inlineStr">
        <is>
          <t>Phạm Tiến Đạt</t>
        </is>
      </c>
      <c r="B2" s="2" t="inlineStr">
        <is>
          <t>Tổng quản lý</t>
        </is>
      </c>
      <c r="C2" s="2" t="inlineStr">
        <is>
          <t>Phó Trưởng khoa</t>
        </is>
      </c>
      <c r="D2" s="2" t="inlineStr">
        <is>
          <t>datpt@hus.edu.vn</t>
        </is>
      </c>
      <c r="E2" s="2" t="n"/>
      <c r="F2" s="2" t="inlineStr">
        <is>
          <t>Người phê duyệt chính</t>
        </is>
      </c>
    </row>
    <row r="3">
      <c r="A3" s="2" t="n"/>
      <c r="B3" s="2" t="inlineStr">
        <is>
          <t>Hệ thống tính toán (HPC, NET)</t>
        </is>
      </c>
      <c r="C3" s="2" t="inlineStr">
        <is>
          <t>CB phụ trách mảng</t>
        </is>
      </c>
      <c r="D3" s="2" t="n"/>
      <c r="E3" s="2" t="n"/>
      <c r="F3" s="3" t="inlineStr">
        <is>
          <t>Cần bổ nhiệm</t>
        </is>
      </c>
    </row>
    <row r="4">
      <c r="A4" s="2" t="n"/>
      <c r="B4" s="2" t="inlineStr">
        <is>
          <t>Quan trắc &amp; Thí nghiệm (OBS, LAB)</t>
        </is>
      </c>
      <c r="C4" s="2" t="inlineStr">
        <is>
          <t>CB phụ trách mảng</t>
        </is>
      </c>
      <c r="D4" s="2" t="n"/>
      <c r="E4" s="2" t="n"/>
      <c r="F4" s="3" t="inlineStr">
        <is>
          <t>Cần bổ nhiệm</t>
        </is>
      </c>
    </row>
    <row r="5">
      <c r="A5" s="2" t="n"/>
      <c r="B5" s="2" t="inlineStr">
        <is>
          <t>Phần mềm &amp; PC (SW, PC, INF)</t>
        </is>
      </c>
      <c r="C5" s="2" t="inlineStr">
        <is>
          <t>CB phụ trách mảng</t>
        </is>
      </c>
      <c r="D5" s="2" t="n"/>
      <c r="E5" s="2" t="n"/>
      <c r="F5" s="3" t="inlineStr">
        <is>
          <t>Cần bổ nhiệm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2026-04-27T17:06:19Z</dcterms:created>
  <dcterms:modified xmlns:dcterms="http://purl.org/dc/terms/" xmlns:xsi="http://www.w3.org/2001/XMLSchema-instance" xsi:type="dcterms:W3CDTF">2026-05-29T14:55:17Z</dcterms:modified>
  <cp:lastModifiedBy>ADMIn</cp:lastModifiedBy>
</cp:coreProperties>
</file>